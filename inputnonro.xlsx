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fanya Laurent\IME\"/>
    </mc:Choice>
  </mc:AlternateContent>
  <xr:revisionPtr revIDLastSave="0" documentId="13_ncr:1_{425BF856-FA75-473C-A6C8-DB3EF5B15992}" xr6:coauthVersionLast="47" xr6:coauthVersionMax="47" xr10:uidLastSave="{00000000-0000-0000-0000-000000000000}"/>
  <bookViews>
    <workbookView xWindow="2860" yWindow="2430" windowWidth="16800" windowHeight="9670" firstSheet="1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G4" i="1" l="1"/>
  <c r="EK4" i="1" s="1"/>
  <c r="EW4" i="1" s="1"/>
  <c r="EG3" i="1"/>
  <c r="EK3" i="1" s="1"/>
  <c r="EW3" i="1" s="1"/>
  <c r="EG16" i="1"/>
  <c r="EG15" i="1"/>
  <c r="EG14" i="1"/>
  <c r="EG8" i="1"/>
  <c r="EK8" i="1" s="1"/>
  <c r="EW8" i="1" s="1"/>
  <c r="EG9" i="1"/>
  <c r="EK9" i="1" s="1"/>
  <c r="EW9" i="1" s="1"/>
  <c r="EG10" i="1"/>
  <c r="EK10" i="1" s="1"/>
  <c r="EW10" i="1" s="1"/>
  <c r="EG11" i="1"/>
  <c r="EG12" i="1"/>
  <c r="EG13" i="1"/>
  <c r="EG2" i="1"/>
  <c r="EK2" i="1" s="1"/>
  <c r="EW2" i="1" s="1"/>
  <c r="EG7" i="1"/>
  <c r="EK7" i="1" s="1"/>
  <c r="EW7" i="1" s="1"/>
</calcChain>
</file>

<file path=xl/sharedStrings.xml><?xml version="1.0" encoding="utf-8"?>
<sst xmlns="http://schemas.openxmlformats.org/spreadsheetml/2006/main" count="8460" uniqueCount="982">
  <si>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</si>
  <si>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</si>
  <si>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</si>
  <si>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</si>
  <si>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</si>
  <si>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</si>
  <si>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</si>
  <si>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</si>
  <si>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</si>
  <si>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</si>
  <si>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</si>
  <si>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</si>
  <si>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</si>
  <si>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</si>
  <si>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</si>
  <si>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</si>
  <si>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</si>
  <si>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</si>
  <si>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</si>
  <si>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</si>
  <si>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</si>
  <si>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</si>
  <si>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</si>
  <si>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</si>
  <si>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</si>
  <si>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</si>
  <si>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</si>
  <si>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</si>
  <si>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</si>
  <si>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</si>
  <si>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</si>
  <si>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</si>
  <si>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</si>
  <si>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</si>
  <si>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</si>
  <si>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</si>
  <si>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</si>
  <si>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</si>
  <si>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</si>
  <si>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</si>
  <si>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</si>
  <si>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</si>
  <si>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</si>
  <si>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</si>
  <si>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</si>
  <si>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</si>
  <si>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</si>
  <si>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</si>
  <si>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</si>
  <si>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</si>
  <si>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</si>
  <si>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</si>
  <si>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</si>
  <si>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</si>
  <si>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</si>
  <si>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</si>
  <si>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</si>
  <si>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</si>
  <si>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</si>
  <si>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</si>
  <si>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</si>
  <si>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</si>
  <si>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</si>
  <si>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</si>
  <si>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</si>
  <si>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</si>
  <si>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</si>
  <si>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</si>
  <si>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</si>
  <si>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</si>
  <si>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</si>
  <si>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</si>
  <si>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</si>
  <si>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</si>
  <si>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</si>
  <si>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</si>
  <si>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</si>
  <si>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</si>
  <si>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</si>
  <si>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</si>
  <si>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</si>
  <si>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</si>
  <si>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</si>
  <si>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</si>
  <si>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</si>
  <si>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</si>
  <si>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</si>
  <si>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</si>
  <si>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</si>
  <si>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</si>
  <si>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</si>
  <si>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</si>
  <si>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</si>
  <si>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</si>
  <si>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</si>
  <si>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</si>
  <si>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</si>
  <si>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</si>
  <si>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</si>
  <si>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</si>
  <si>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</si>
  <si>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</si>
  <si>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</si>
  <si>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</si>
  <si>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</si>
  <si>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</si>
  <si>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</si>
  <si>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</si>
  <si>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</si>
  <si>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</si>
  <si>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</si>
  <si>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</si>
  <si>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</si>
  <si>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</si>
  <si>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</si>
  <si>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</si>
  <si>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</si>
  <si>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</si>
  <si>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</si>
  <si>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</si>
  <si>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</si>
  <si>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</si>
  <si>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</si>
  <si>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</si>
  <si>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</si>
  <si>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</si>
  <si>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</si>
  <si>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</si>
  <si>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</si>
  <si>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</si>
  <si>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</si>
  <si>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</si>
  <si>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</si>
  <si>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</si>
  <si>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</si>
  <si>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</si>
  <si>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</si>
  <si>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</si>
  <si>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</si>
  <si>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</si>
  <si>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</si>
  <si>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</si>
  <si>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</si>
  <si>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</si>
  <si>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</si>
  <si>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</si>
  <si>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</si>
  <si>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</si>
  <si>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</si>
  <si>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</si>
  <si>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</si>
  <si>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</si>
  <si>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</si>
  <si>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</si>
  <si>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</si>
  <si>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</si>
  <si>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</si>
  <si>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</si>
  <si>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</si>
  <si>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</si>
  <si>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</si>
  <si>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</si>
  <si>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</si>
  <si>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</si>
  <si>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</si>
  <si>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</si>
  <si>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</si>
  <si>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</si>
  <si>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</si>
  <si>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</si>
  <si>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</si>
  <si>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</si>
  <si>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</si>
  <si>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</si>
  <si>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</si>
  <si>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</si>
  <si>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</si>
  <si>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</si>
  <si>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</si>
  <si>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</si>
  <si>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</si>
  <si>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</si>
  <si>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</si>
  <si>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</si>
  <si>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</si>
  <si>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</si>
  <si>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</si>
  <si>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</si>
  <si>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</si>
  <si>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</si>
  <si>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</si>
  <si>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</si>
  <si>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</si>
  <si>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</si>
  <si>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</si>
  <si>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</si>
  <si>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</si>
  <si>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</si>
  <si>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</si>
  <si>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</si>
  <si>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</si>
  <si>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</si>
  <si>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</si>
  <si>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</si>
  <si>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</si>
  <si>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</si>
  <si>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</si>
  <si>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</si>
  <si>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</si>
  <si>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</si>
  <si>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</si>
  <si>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</si>
  <si>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</si>
  <si>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</si>
  <si>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</si>
  <si>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</si>
  <si>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</si>
  <si>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</si>
  <si>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</si>
  <si>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</si>
  <si>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</si>
  <si>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</si>
  <si>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</si>
  <si>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</si>
  <si>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</si>
  <si>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</si>
  <si>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</si>
  <si>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</si>
  <si>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</si>
  <si>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</si>
  <si>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</si>
  <si>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</si>
  <si>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</si>
  <si>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</si>
  <si>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</si>
  <si>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</si>
  <si>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</si>
  <si>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</si>
  <si>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</si>
  <si>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</si>
  <si>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</si>
  <si>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</si>
  <si>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</si>
  <si>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</si>
  <si>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</si>
  <si>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</si>
  <si>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</si>
  <si>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</si>
  <si>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</si>
  <si>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</si>
  <si>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</si>
  <si>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</si>
  <si>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</si>
  <si>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</si>
  <si>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</si>
  <si>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</si>
  <si>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</si>
  <si>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</si>
  <si>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</si>
  <si>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</si>
  <si>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</si>
  <si>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</si>
  <si>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</si>
  <si>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</si>
  <si>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</si>
  <si>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</si>
  <si>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</si>
  <si>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</si>
  <si>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</si>
  <si>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</si>
  <si>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</si>
  <si>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</si>
  <si>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</si>
  <si>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</si>
  <si>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</si>
  <si>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</si>
  <si>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</si>
  <si>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</si>
  <si>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</si>
  <si>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</si>
  <si>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</si>
  <si>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</si>
  <si>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</si>
  <si>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</si>
  <si>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</si>
  <si>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</si>
  <si>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</si>
  <si>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</si>
  <si>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</si>
  <si>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</si>
  <si>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</si>
  <si>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</si>
  <si>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</si>
  <si>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</si>
  <si>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</si>
  <si>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</si>
  <si>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</si>
  <si>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</si>
  <si>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</si>
  <si>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</si>
  <si>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</si>
  <si>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</si>
  <si>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</si>
  <si>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</si>
  <si>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</si>
  <si>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</si>
  <si>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</si>
  <si>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</si>
  <si>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</si>
  <si>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</si>
  <si>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</si>
  <si>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</si>
  <si>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</si>
  <si>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</si>
  <si>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</si>
  <si>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</si>
  <si>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</si>
  <si>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</si>
  <si>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</si>
  <si>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</si>
  <si>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</si>
  <si>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</si>
  <si>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</si>
  <si>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</si>
  <si>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</si>
  <si>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</si>
  <si>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</si>
  <si>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</si>
  <si>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</si>
  <si>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</si>
  <si>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</si>
  <si>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</si>
  <si>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</si>
  <si>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</si>
  <si>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</si>
  <si>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</si>
  <si>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</si>
  <si>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</si>
  <si>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</si>
  <si>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</si>
  <si>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</si>
  <si>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</si>
  <si>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</si>
  <si>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</si>
  <si>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</si>
  <si>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</si>
  <si>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</si>
  <si>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</si>
  <si>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</si>
  <si>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</si>
  <si>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</si>
  <si>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</si>
  <si>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</si>
  <si>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</si>
  <si>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</si>
  <si>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</si>
  <si>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</si>
  <si>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</si>
  <si>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</si>
  <si>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</si>
  <si>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</si>
  <si>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</si>
  <si>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</si>
  <si>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</si>
  <si>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</si>
  <si>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</si>
  <si>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</si>
  <si>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</si>
  <si>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</si>
  <si>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</si>
  <si>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</si>
  <si>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</si>
  <si>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</si>
  <si>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</si>
  <si>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</si>
  <si>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</si>
  <si>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</si>
  <si>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</si>
  <si>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</si>
  <si>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</si>
  <si>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</si>
  <si>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</si>
  <si>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</si>
  <si>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</si>
  <si>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</si>
  <si>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</si>
  <si>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</si>
  <si>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</si>
  <si>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</si>
  <si>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</si>
  <si>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</si>
  <si>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</si>
  <si>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</si>
  <si>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</si>
  <si>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</si>
  <si>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</si>
  <si>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</si>
  <si>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</si>
  <si>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</si>
  <si>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</si>
  <si>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</si>
  <si>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</si>
  <si>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</si>
  <si>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</si>
  <si>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</si>
  <si>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</si>
  <si>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</si>
  <si>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</si>
  <si>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</si>
  <si>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</si>
  <si>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</si>
  <si>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</si>
  <si>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</si>
  <si>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</si>
  <si>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</si>
  <si>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</si>
  <si>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</si>
  <si>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</si>
  <si>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</si>
  <si>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</si>
  <si>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</si>
  <si>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</si>
  <si>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</si>
  <si>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</si>
  <si>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</si>
  <si>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</si>
  <si>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</si>
  <si>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</si>
  <si>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</si>
  <si>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</si>
  <si>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</si>
  <si>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</si>
  <si>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</si>
  <si>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</si>
  <si>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</si>
  <si>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</si>
  <si>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</si>
  <si>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</si>
  <si>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</si>
  <si>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</si>
  <si>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</si>
  <si>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</si>
  <si>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</si>
  <si>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</si>
  <si>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</si>
  <si>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</si>
  <si>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</si>
  <si>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</si>
  <si>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</si>
  <si>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</si>
  <si>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</si>
  <si>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</si>
  <si>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</si>
  <si>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</si>
  <si>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</si>
  <si>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</si>
  <si>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</si>
  <si>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</si>
  <si>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</si>
  <si>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</si>
  <si>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</si>
  <si>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</si>
  <si>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</si>
  <si>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</si>
  <si>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</si>
  <si>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</si>
  <si>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</si>
  <si>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</si>
  <si>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</si>
  <si>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</si>
  <si>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</si>
  <si>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</si>
  <si>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</si>
  <si>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</si>
  <si>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</si>
  <si>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</si>
  <si>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</si>
  <si>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</si>
  <si>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</si>
  <si>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</si>
  <si>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</si>
  <si>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</si>
  <si>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</si>
  <si>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</si>
  <si>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</si>
  <si>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</si>
  <si>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</si>
  <si>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</si>
  <si>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</si>
  <si>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</si>
  <si>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</si>
  <si>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</si>
  <si>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</si>
  <si>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</si>
  <si>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</si>
  <si>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</si>
  <si>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</si>
  <si>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</si>
  <si>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</si>
  <si>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</si>
  <si>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</si>
  <si>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</si>
  <si>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</si>
  <si>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</si>
  <si>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</si>
  <si>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</si>
  <si>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</si>
  <si>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</si>
  <si>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</si>
  <si>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</si>
  <si>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</si>
  <si>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</si>
  <si>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</si>
  <si>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</si>
  <si>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</si>
  <si>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</si>
  <si>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</si>
  <si>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</si>
  <si>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</si>
  <si>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</si>
  <si>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</si>
  <si>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</si>
  <si>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</si>
  <si>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</si>
  <si>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</si>
  <si>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</si>
  <si>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</si>
  <si>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</si>
  <si>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</si>
  <si>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</si>
  <si>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</si>
  <si>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</si>
  <si>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</si>
  <si>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</si>
  <si>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</si>
  <si>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</si>
  <si>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</si>
  <si>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</si>
  <si>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</si>
  <si>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</si>
  <si>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</si>
  <si>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</si>
  <si>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</si>
  <si>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</si>
  <si>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</si>
  <si>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</si>
  <si>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</si>
  <si>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</si>
  <si>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</si>
  <si>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</si>
  <si>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</si>
  <si>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</si>
  <si>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</si>
  <si>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</si>
  <si>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</si>
  <si>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</si>
  <si>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</si>
  <si>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</si>
  <si>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</si>
  <si>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</si>
  <si>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</si>
  <si>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</si>
  <si>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</si>
  <si>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</si>
  <si>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</si>
  <si>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</si>
  <si>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</si>
  <si>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</si>
  <si>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</si>
  <si>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</si>
  <si>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</si>
  <si>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</si>
  <si>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</si>
  <si>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</si>
  <si>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</si>
  <si>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</si>
  <si>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</si>
  <si>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</si>
  <si>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</si>
  <si>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</si>
  <si>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</si>
  <si>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</si>
  <si>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</si>
  <si>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</si>
  <si>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</si>
  <si>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</si>
  <si>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</si>
  <si>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</si>
  <si>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</si>
  <si>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</si>
  <si>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</si>
  <si>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</si>
  <si>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</si>
  <si>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</si>
  <si>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</si>
  <si>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</si>
  <si>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</si>
  <si>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</si>
  <si>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</si>
  <si>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</si>
  <si>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</si>
  <si>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</si>
  <si>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</si>
  <si>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</si>
  <si>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</si>
  <si>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</si>
  <si>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</si>
  <si>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</si>
  <si>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</si>
  <si>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</si>
  <si>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</si>
  <si>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</si>
  <si>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</si>
  <si>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</si>
  <si>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</si>
  <si>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</si>
  <si>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</si>
  <si>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</si>
  <si>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</si>
  <si>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</si>
  <si>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</si>
  <si>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</si>
  <si>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</si>
  <si>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</si>
  <si>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</si>
  <si>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</si>
  <si>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</si>
  <si>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</si>
  <si>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</si>
  <si>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</si>
  <si>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</si>
  <si>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</si>
  <si>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</si>
  <si>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</si>
  <si>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</si>
  <si>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</si>
  <si>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</si>
  <si>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</si>
  <si>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</si>
  <si>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</si>
  <si>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</si>
  <si>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</si>
  <si>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</si>
  <si>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</si>
  <si>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</si>
  <si>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</si>
  <si>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</si>
  <si>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</si>
  <si>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</si>
  <si>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</si>
  <si>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</si>
  <si>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</si>
  <si>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</si>
  <si>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</si>
  <si>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</si>
  <si>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</si>
  <si>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</si>
  <si>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</si>
  <si>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</si>
  <si>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</si>
  <si>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</si>
  <si>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</si>
  <si>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</si>
  <si>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</si>
  <si>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</si>
  <si>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</si>
  <si>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</si>
  <si>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</si>
  <si>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</si>
  <si>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</si>
  <si>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</si>
  <si>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</si>
  <si>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</si>
  <si>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</si>
  <si>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</si>
  <si>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</si>
  <si>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</si>
  <si>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</si>
  <si>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</si>
  <si>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</si>
  <si>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</si>
  <si>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</si>
  <si>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</si>
  <si>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</si>
  <si>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</si>
  <si>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</si>
  <si>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</si>
  <si>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</si>
  <si>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</si>
  <si>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</si>
  <si>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</si>
  <si>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</si>
  <si>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</si>
  <si>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</si>
  <si>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</si>
  <si>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</si>
  <si>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</si>
  <si>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</si>
  <si>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</si>
  <si>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</si>
  <si>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</si>
  <si>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</si>
  <si>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</si>
  <si>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</si>
  <si>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</si>
  <si>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</si>
  <si>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</si>
  <si>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</si>
  <si>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</si>
  <si>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</si>
  <si>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</si>
  <si>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</si>
  <si>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</si>
  <si>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</si>
  <si>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</si>
  <si>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</si>
  <si>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</si>
  <si>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</si>
  <si>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</si>
  <si>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</si>
  <si>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</si>
  <si>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</si>
  <si>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</si>
  <si>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</si>
  <si>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</si>
  <si>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</si>
  <si>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</si>
  <si>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</si>
  <si>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</si>
  <si>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</si>
  <si>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</si>
  <si>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</si>
  <si>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</si>
  <si>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</si>
  <si>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</si>
  <si>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</si>
  <si>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</si>
  <si>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</si>
  <si>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</si>
  <si>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</si>
  <si>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</si>
  <si>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</si>
  <si>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</si>
  <si>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</si>
  <si>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</si>
  <si>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</si>
  <si>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</si>
  <si>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</si>
  <si>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</si>
  <si>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</si>
  <si>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</si>
  <si>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</si>
  <si>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</si>
  <si>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</si>
  <si>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</si>
  <si>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</si>
  <si>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</si>
  <si>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</si>
  <si>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</si>
  <si>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</si>
  <si>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</si>
  <si>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</si>
  <si>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</si>
  <si>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</si>
  <si>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</si>
  <si>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</si>
  <si>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</si>
  <si>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</si>
  <si>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</si>
  <si>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</si>
  <si>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</si>
  <si>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</si>
  <si>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</si>
  <si>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</si>
  <si>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</si>
  <si>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</si>
  <si>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</si>
  <si>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</si>
  <si>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</si>
  <si>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</si>
  <si>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</si>
  <si>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</si>
  <si>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</si>
  <si>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</si>
  <si>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</si>
  <si>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</si>
  <si>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</si>
  <si>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</si>
  <si>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</si>
  <si>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</si>
  <si>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</si>
  <si>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</si>
  <si>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</si>
  <si>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</si>
  <si>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</si>
  <si>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</si>
  <si>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</si>
  <si>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</si>
  <si>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</si>
  <si>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</si>
  <si>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</si>
  <si>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</si>
  <si>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</si>
  <si>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</si>
  <si>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</si>
  <si>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</si>
  <si>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</si>
  <si>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</si>
  <si>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</si>
  <si>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</si>
  <si>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</si>
  <si>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</si>
  <si>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</si>
  <si>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</si>
  <si>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</si>
  <si>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</si>
  <si>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</si>
  <si>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</si>
  <si>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</si>
  <si>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</si>
  <si>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</si>
  <si>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</si>
  <si>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</si>
  <si>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</si>
  <si>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</si>
  <si>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</si>
  <si>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</si>
  <si>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</si>
  <si>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</si>
  <si>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</si>
  <si>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</si>
  <si>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</si>
  <si>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</si>
  <si>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</si>
  <si>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</si>
  <si>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</si>
  <si>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</si>
  <si>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</si>
  <si>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</si>
  <si>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</si>
  <si>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</si>
  <si>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</si>
  <si>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</si>
  <si>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</si>
  <si>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</si>
  <si>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</si>
  <si>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</si>
  <si>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</si>
  <si>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</si>
  <si>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</si>
  <si>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</si>
  <si>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</si>
  <si>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</si>
  <si>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</si>
  <si>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</si>
  <si>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</si>
  <si>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</si>
  <si>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</si>
  <si>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</si>
  <si>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</si>
  <si>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</si>
  <si>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</si>
  <si>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</si>
  <si>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</si>
  <si>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</si>
  <si>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</si>
  <si>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</si>
  <si>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</si>
  <si>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</si>
  <si>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</si>
  <si>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</si>
  <si>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</si>
  <si>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</si>
  <si>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</si>
  <si>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</si>
  <si>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</si>
  <si>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</si>
  <si>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</si>
  <si>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</si>
  <si>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</si>
  <si>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</si>
  <si>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</si>
  <si>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</si>
  <si>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</si>
  <si>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</si>
  <si>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</si>
  <si>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</si>
  <si>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</si>
  <si>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</si>
  <si>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</si>
  <si>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</si>
  <si>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</si>
  <si>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</si>
  <si>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</si>
  <si>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</si>
  <si>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</si>
  <si>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</si>
  <si>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</si>
  <si>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</si>
  <si>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</si>
  <si>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</si>
  <si>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</si>
  <si>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</si>
  <si>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</si>
  <si>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</si>
  <si>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</si>
  <si>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K_PengajuanPemohon</t>
  </si>
  <si>
    <t>Ya</t>
  </si>
  <si>
    <t>G_Segmentasi</t>
  </si>
  <si>
    <t>HNWI</t>
  </si>
  <si>
    <t>Affluent</t>
  </si>
  <si>
    <t>Uppermass</t>
  </si>
  <si>
    <t>Mass</t>
  </si>
  <si>
    <t>Tidak Tersegmentasi</t>
  </si>
  <si>
    <t>G_Membership</t>
  </si>
  <si>
    <t>Solitaire</t>
  </si>
  <si>
    <t>Prioritas</t>
  </si>
  <si>
    <t>Reguler</t>
  </si>
  <si>
    <t>G_LamaMembership</t>
  </si>
  <si>
    <t>G_JenisDebitur</t>
  </si>
  <si>
    <t>Korporasi</t>
  </si>
  <si>
    <t>SME</t>
  </si>
  <si>
    <t>KUK/KUR</t>
  </si>
  <si>
    <t>Non Debitur</t>
  </si>
  <si>
    <t>G_Plafond</t>
  </si>
  <si>
    <t>G_SalesType</t>
  </si>
  <si>
    <t>Direct Sales</t>
  </si>
  <si>
    <t>Non Direct Sales</t>
  </si>
  <si>
    <t>A Debitur</t>
  </si>
  <si>
    <t>A Prioritas</t>
  </si>
  <si>
    <t>A Solitaire</t>
  </si>
  <si>
    <t>A Debitur Prioritas</t>
  </si>
  <si>
    <t>A Debitur Solitaire</t>
  </si>
  <si>
    <t>Semi B</t>
  </si>
  <si>
    <t>non direct sales</t>
  </si>
  <si>
    <t>G_SalesOffice</t>
  </si>
  <si>
    <t>G_RekomendasiNama</t>
  </si>
  <si>
    <t>Al</t>
  </si>
  <si>
    <t>El</t>
  </si>
  <si>
    <t>Dul</t>
  </si>
  <si>
    <t>G_Jabatan</t>
  </si>
  <si>
    <t>Manager</t>
  </si>
  <si>
    <t>Tester</t>
  </si>
  <si>
    <t>G_Cabang</t>
  </si>
  <si>
    <t>Kelapa Gading</t>
  </si>
  <si>
    <t>Pondok Indah</t>
  </si>
  <si>
    <t>Sudirman</t>
  </si>
  <si>
    <t>Menteng</t>
  </si>
  <si>
    <t>G_SalesAgent</t>
  </si>
  <si>
    <t>pengajuanChassis</t>
  </si>
  <si>
    <t>Cl_NamaDealerKaroseri</t>
  </si>
  <si>
    <t>Cl_CabangDealerKaroseri</t>
  </si>
  <si>
    <t>Cl_HargaKaroseri</t>
  </si>
  <si>
    <t>A2BR</t>
  </si>
  <si>
    <t>OIOI</t>
  </si>
  <si>
    <t>A3998</t>
  </si>
  <si>
    <t>Yes</t>
  </si>
  <si>
    <t>No</t>
  </si>
  <si>
    <t>L_SelfCover</t>
  </si>
  <si>
    <t>L_CoverMundur</t>
  </si>
  <si>
    <t>L_PeriodeStartCoverMundur</t>
  </si>
  <si>
    <t>L_PeriodeEndCoverMundur</t>
  </si>
  <si>
    <t>23/06/2025</t>
  </si>
  <si>
    <t>25/06/2025</t>
  </si>
  <si>
    <t>F_Prefix</t>
  </si>
  <si>
    <t>F_NoHP</t>
  </si>
  <si>
    <t>A0002</t>
  </si>
  <si>
    <t>B0001</t>
  </si>
  <si>
    <t>F_Email</t>
  </si>
  <si>
    <t>otterorpuppy@gmail.com</t>
  </si>
  <si>
    <t>K_NamaPerusahaanPasangan</t>
  </si>
  <si>
    <t>PT PERUSAHAAN PASANGAN</t>
  </si>
  <si>
    <t>K_JabatanPasangan</t>
  </si>
  <si>
    <t>HRD</t>
  </si>
  <si>
    <t>K_TahunPerusahaanPasangan</t>
  </si>
  <si>
    <t>K_JenisUsahaPasangan</t>
  </si>
  <si>
    <t>MAKANAN</t>
  </si>
  <si>
    <t>K_AlamatPerusahaanPasangan</t>
  </si>
  <si>
    <t>JL PERUSAHAAN PASANGAN</t>
  </si>
  <si>
    <t>K_KodePosPasangan</t>
  </si>
  <si>
    <t>K_NomorTeleponPasangan</t>
  </si>
  <si>
    <t>TIPE 3 - W2 - KKB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</si>
</sst>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  <xf numFmtId="0" fontId="0" fillId="15" borderId="0" xfId="0" applyFill="1" applyBorder="1" applyAlignment="1">
      <alignment horizontal="left" vertical="top"/>
    </xf>
    <xf numFmtId="0" fontId="0" fillId="16" borderId="0" xfId="0" applyFill="1" applyBorder="1" applyAlignment="1">
      <alignment horizontal="left" vertical="top"/>
    </xf>
    <xf numFmtId="0" fontId="0" fillId="15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16" borderId="5" xfId="0" applyFill="1" applyBorder="1" applyAlignment="1">
      <alignment horizontal="center" vertical="top"/>
    </xf>
    <xf numFmtId="0" fontId="2" fillId="4" borderId="8" xfId="0" applyFont="1" applyFill="1" applyBorder="1" applyAlignment="1">
      <alignment horizontal="left" vertical="top"/>
    </xf>
    <xf numFmtId="0" fontId="0" fillId="15" borderId="5" xfId="0" applyFill="1" applyBorder="1" applyAlignment="1">
      <alignment horizontal="left" vertical="top"/>
    </xf>
    <xf numFmtId="15" fontId="0" fillId="15" borderId="0" xfId="0" applyNumberForma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hyperlink" Target="mailto:otterorpuppy@gmail.com" TargetMode="External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08984375" defaultRowHeight="14.5" x14ac:dyDescent="0.35"/>
  <cols>
    <col min="1" max="1" width="14.08984375" bestFit="1" customWidth="1"/>
    <col min="2" max="2" width="9.90625" customWidth="1"/>
    <col min="3" max="3" width="9.17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18.3632812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19.08984375" bestFit="1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5" bestFit="1" customWidth="1"/>
    <col min="97" max="97" width="11.54296875" bestFit="1" customWidth="1"/>
    <col min="98" max="98" width="15" bestFit="1" customWidth="1"/>
    <col min="99" max="99" width="18.1796875" bestFit="1" customWidth="1"/>
    <col min="100" max="100" width="9.6328125" bestFit="1" customWidth="1"/>
    <col min="101" max="101" width="14" bestFit="1" customWidth="1"/>
    <col min="102" max="102" width="12.36328125" bestFit="1" customWidth="1"/>
    <col min="103" max="103" width="17.6328125" bestFit="1" customWidth="1"/>
    <col min="104" max="104" width="19.90625" bestFit="1" customWidth="1"/>
    <col min="105" max="105" width="26" bestFit="1" customWidth="1"/>
    <col min="106" max="106" width="12.81640625" bestFit="1" customWidth="1"/>
    <col min="107" max="107" width="19.6328125" bestFit="1" customWidth="1"/>
    <col min="108" max="108" width="18.81640625" bestFit="1" customWidth="1"/>
    <col min="109" max="109" width="11" bestFit="1" customWidth="1"/>
    <col min="110" max="110" width="11.1796875" bestFit="1" customWidth="1"/>
    <col min="111" max="111" width="13.90625" bestFit="1" customWidth="1"/>
    <col min="112" max="112" width="21" bestFit="1" customWidth="1"/>
    <col min="113" max="113" width="15.453125" bestFit="1" customWidth="1"/>
    <col min="114" max="114" width="17.453125" bestFit="1" customWidth="1"/>
    <col min="115" max="115" width="17.1796875" bestFit="1" customWidth="1"/>
    <col min="116" max="116" width="15.81640625" bestFit="1" customWidth="1"/>
    <col min="117" max="117" width="25" bestFit="1" customWidth="1"/>
    <col min="118" max="118" width="14.453125" bestFit="1" customWidth="1"/>
    <col min="119" max="119" width="18.453125" bestFit="1" customWidth="1"/>
    <col min="120" max="120" width="10.6328125" bestFit="1" customWidth="1"/>
    <col min="121" max="121" width="12.08984375" bestFit="1" customWidth="1"/>
    <col min="122" max="122" width="12.81640625" bestFit="1" customWidth="1"/>
    <col min="123" max="123" width="12.1796875" bestFit="1" customWidth="1"/>
    <col min="124" max="124" width="19.54296875" bestFit="1" customWidth="1"/>
    <col min="125" max="125" width="11.08984375" bestFit="1" customWidth="1"/>
    <col min="126" max="126" width="15.6328125" bestFit="1" customWidth="1"/>
    <col min="127" max="127" width="9.1796875" bestFit="1" customWidth="1"/>
    <col min="128" max="128" width="16.81640625" bestFit="1" customWidth="1"/>
    <col min="129" max="129" width="9" bestFit="1" customWidth="1"/>
    <col min="130" max="130" width="10" bestFit="1" customWidth="1"/>
    <col min="131" max="131" width="22.1796875" bestFit="1" customWidth="1"/>
    <col min="132" max="132" width="11.54296875" bestFit="1" customWidth="1"/>
    <col min="133" max="133" width="16" bestFit="1" customWidth="1"/>
    <col min="134" max="134" width="13.54296875" bestFit="1" customWidth="1"/>
    <col min="135" max="135" width="17.453125" bestFit="1" customWidth="1"/>
    <col min="136" max="136" width="19.453125" bestFit="1" customWidth="1"/>
    <col min="137" max="137" width="17.1796875" bestFit="1" customWidth="1"/>
    <col min="138" max="138" width="22.1796875" bestFit="1" customWidth="1"/>
    <col min="139" max="139" width="18.453125" bestFit="1" customWidth="1"/>
    <col min="140" max="140" width="19.81640625" bestFit="1" customWidth="1"/>
    <col min="141" max="141" width="16" bestFit="1" customWidth="1"/>
    <col min="142" max="142" width="23.36328125" bestFit="1" customWidth="1"/>
    <col min="143" max="143" width="28.08984375" bestFit="1" customWidth="1"/>
    <col min="144" max="144" width="23.453125" bestFit="1" customWidth="1"/>
    <col min="145" max="145" width="20.90625" bestFit="1" customWidth="1"/>
    <col min="146" max="146" width="25.81640625" bestFit="1" customWidth="1"/>
    <col min="147" max="147" width="23.6328125" bestFit="1" customWidth="1"/>
    <col min="148" max="148" width="24.36328125" bestFit="1" customWidth="1"/>
    <col min="149" max="149" width="13.54296875" bestFit="1" customWidth="1"/>
    <col min="150" max="150" width="18.36328125" bestFit="1" customWidth="1"/>
    <col min="151" max="151" width="19.08984375" bestFit="1" customWidth="1"/>
    <col min="152" max="152" width="10.36328125" bestFit="1" customWidth="1"/>
    <col min="153" max="153" width="11.08984375" bestFit="1" customWidth="1"/>
    <col min="154" max="154" width="19.6328125" bestFit="1" customWidth="1"/>
    <col min="155" max="155" width="14" bestFit="1" customWidth="1"/>
    <col min="156" max="156" width="9" bestFit="1" customWidth="1"/>
    <col min="157" max="157" width="8.90625" bestFit="1" customWidth="1"/>
    <col min="158" max="158" width="17.36328125" bestFit="1" customWidth="1"/>
    <col min="159" max="159" width="22.90625" bestFit="1" customWidth="1"/>
    <col min="160" max="160" width="8.90625" bestFit="1" customWidth="1"/>
    <col min="162" max="162" width="19.08984375" bestFit="1" customWidth="1"/>
    <col min="163" max="163" width="21.54296875" bestFit="1" customWidth="1"/>
    <col min="164" max="164" width="17.1796875" bestFit="1" customWidth="1"/>
    <col min="165" max="165" width="13.36328125" bestFit="1" customWidth="1"/>
    <col min="166" max="166" width="20.6328125" bestFit="1" customWidth="1"/>
    <col min="167" max="167" width="12.6328125" bestFit="1" customWidth="1"/>
    <col min="168" max="168" width="36.90625" bestFit="1" customWidth="1"/>
    <col min="169" max="169" width="31.08984375" bestFit="1" customWidth="1"/>
    <col min="170" max="170" width="10" bestFit="1" customWidth="1"/>
    <col min="171" max="171" width="18.08984375" bestFit="1" customWidth="1"/>
    <col min="172" max="172" width="20" bestFit="1" customWidth="1"/>
    <col min="173" max="173" width="31.08984375" bestFit="1" customWidth="1"/>
    <col min="174" max="174" width="12.36328125" bestFit="1" customWidth="1"/>
    <col min="175" max="175" width="11.54296875" bestFit="1" customWidth="1"/>
    <col min="176" max="176" width="10.1796875" bestFit="1" customWidth="1"/>
    <col min="177" max="177" width="14.90625" bestFit="1" customWidth="1"/>
    <col min="178" max="178" width="13.90625" bestFit="1" customWidth="1"/>
    <col min="179" max="179" width="11.6328125" bestFit="1" customWidth="1"/>
    <col min="180" max="180" width="13.6328125" bestFit="1" customWidth="1"/>
    <col min="181" max="181" width="12.90625" bestFit="1" customWidth="1"/>
    <col min="182" max="183" width="17" bestFit="1" customWidth="1"/>
    <col min="184" max="184" width="15.08984375" bestFit="1" customWidth="1"/>
    <col min="185" max="186" width="21.36328125" bestFit="1" customWidth="1"/>
    <col min="187" max="187" width="17.6328125" bestFit="1" customWidth="1"/>
    <col min="188" max="188" width="24.08984375" bestFit="1" customWidth="1"/>
    <col min="189" max="189" width="22.90625" bestFit="1" customWidth="1"/>
    <col min="190" max="190" width="15.08984375" bestFit="1" customWidth="1"/>
    <col min="191" max="191" width="20" bestFit="1" customWidth="1"/>
    <col min="192" max="192" width="24.90625" bestFit="1" customWidth="1"/>
    <col min="193" max="193" width="29" bestFit="1" customWidth="1"/>
    <col min="194" max="194" width="34" bestFit="1" customWidth="1"/>
    <col min="195" max="195" width="29.08984375" bestFit="1" customWidth="1"/>
    <col min="196" max="196" width="22" bestFit="1" customWidth="1"/>
    <col min="197" max="197" width="22.36328125" bestFit="1" customWidth="1"/>
    <col min="198" max="198" width="6.81640625" bestFit="1" customWidth="1"/>
    <col min="199" max="199" width="23.36328125" bestFit="1" customWidth="1"/>
    <col min="200" max="200" width="146.90625" bestFit="1" customWidth="1"/>
    <col min="201" max="201" width="9.6328125" bestFit="1" customWidth="1"/>
    <col min="202" max="202" width="34.90625" bestFit="1" customWidth="1"/>
    <col min="203" max="203" width="23.54296875" bestFit="1" customWidth="1"/>
    <col min="204" max="204" width="16" bestFit="1" customWidth="1"/>
    <col min="205" max="205" width="18.90625" bestFit="1" customWidth="1"/>
    <col min="206" max="206" width="14.90625" bestFit="1" customWidth="1"/>
    <col min="207" max="207" width="22.81640625" bestFit="1" customWidth="1"/>
    <col min="208" max="208" width="23.90625" bestFit="1" customWidth="1"/>
    <col min="209" max="209" width="9" bestFit="1" customWidth="1"/>
    <col min="210" max="210" width="21.6328125" bestFit="1" customWidth="1"/>
    <col min="211" max="211" width="16.6328125" bestFit="1" customWidth="1"/>
    <col min="212" max="212" width="38.1796875" bestFit="1" customWidth="1"/>
    <col min="213" max="213" width="18.36328125" bestFit="1" customWidth="1"/>
  </cols>
  <sheetData>
    <row r="1" spans="1:213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ht="29" x14ac:dyDescent="0.35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5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ht="29" x14ac:dyDescent="0.35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5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ht="29" x14ac:dyDescent="0.35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5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ht="29" x14ac:dyDescent="0.35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5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ht="29" x14ac:dyDescent="0.35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5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5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5" x14ac:dyDescent="0.35"/>
  <cols>
    <col min="1" max="1" width="10" bestFit="1" customWidth="1"/>
    <col min="2" max="2" width="19" bestFit="1" customWidth="1"/>
    <col min="3" max="3" width="19" customWidth="1"/>
    <col min="4" max="4" width="18.1796875" bestFit="1" customWidth="1"/>
    <col min="5" max="5" width="18.1796875" customWidth="1"/>
    <col min="6" max="6" width="26.54296875" bestFit="1" customWidth="1"/>
    <col min="7" max="8" width="24.36328125" customWidth="1"/>
    <col min="9" max="9" width="11.453125" bestFit="1" customWidth="1"/>
    <col min="10" max="10" width="22.453125" bestFit="1" customWidth="1"/>
    <col min="11" max="11" width="13.08984375" customWidth="1"/>
    <col min="12" max="12" width="23.453125" bestFit="1" customWidth="1"/>
    <col min="13" max="13" width="12.6328125" customWidth="1"/>
    <col min="14" max="14" width="16" bestFit="1" customWidth="1"/>
    <col min="15" max="15" width="15" bestFit="1" customWidth="1"/>
    <col min="16" max="16" width="12.6328125" customWidth="1"/>
    <col min="17" max="17" width="14.81640625" bestFit="1" customWidth="1"/>
    <col min="18" max="18" width="14.81640625" customWidth="1"/>
    <col min="19" max="20" width="18.1796875" bestFit="1" customWidth="1"/>
    <col min="21" max="21" width="16.1796875" bestFit="1" customWidth="1"/>
    <col min="22" max="23" width="22.453125" bestFit="1" customWidth="1"/>
    <col min="24" max="24" width="17.453125" bestFit="1" customWidth="1"/>
    <col min="25" max="25" width="18.453125" bestFit="1" customWidth="1"/>
    <col min="26" max="26" width="16.453125" bestFit="1" customWidth="1"/>
    <col min="27" max="27" width="19.90625" bestFit="1" customWidth="1"/>
    <col min="28" max="28" width="18.36328125" bestFit="1" customWidth="1"/>
    <col min="29" max="29" width="18.81640625" bestFit="1" customWidth="1"/>
    <col min="30" max="30" width="18.1796875" bestFit="1" customWidth="1"/>
    <col min="31" max="31" width="18.1796875" customWidth="1"/>
    <col min="32" max="32" width="24" bestFit="1" customWidth="1"/>
    <col min="33" max="33" width="23.36328125" bestFit="1" customWidth="1"/>
    <col min="34" max="34" width="21.08984375" bestFit="1" customWidth="1"/>
    <col min="35" max="35" width="26.08984375" bestFit="1" customWidth="1"/>
    <col min="36" max="36" width="30.1796875" bestFit="1" customWidth="1"/>
    <col min="37" max="37" width="35.08984375" bestFit="1" customWidth="1"/>
    <col min="38" max="38" width="26.08984375" bestFit="1" customWidth="1"/>
    <col min="39" max="39" width="22.1796875" bestFit="1" customWidth="1"/>
    <col min="40" max="40" width="23.453125" bestFit="1" customWidth="1"/>
    <col min="41" max="41" width="17.1796875" bestFit="1" customWidth="1"/>
    <col min="42" max="42" width="17.1796875" customWidth="1"/>
    <col min="43" max="43" width="22.453125" bestFit="1" customWidth="1"/>
    <col min="44" max="44" width="22.453125" customWidth="1"/>
    <col min="45" max="45" width="14.54296875" bestFit="1" customWidth="1"/>
    <col min="46" max="46" width="21.36328125" bestFit="1" customWidth="1"/>
    <col min="47" max="47" width="19" bestFit="1" customWidth="1"/>
    <col min="48" max="48" width="22.90625" bestFit="1" customWidth="1"/>
    <col min="49" max="49" width="20.54296875" bestFit="1" customWidth="1"/>
    <col min="50" max="50" width="27.54296875" bestFit="1" customWidth="1"/>
    <col min="51" max="51" width="22.1796875" bestFit="1" customWidth="1"/>
    <col min="52" max="52" width="19.1796875" bestFit="1" customWidth="1"/>
    <col min="53" max="53" width="18.6328125" bestFit="1" customWidth="1"/>
    <col min="54" max="54" width="15.36328125" bestFit="1" customWidth="1"/>
    <col min="55" max="55" width="19.90625" bestFit="1" customWidth="1"/>
    <col min="56" max="56" width="16.81640625" bestFit="1" customWidth="1"/>
    <col min="57" max="57" width="16" bestFit="1" customWidth="1"/>
    <col min="58" max="58" width="13.1796875" bestFit="1" customWidth="1"/>
    <col min="59" max="59" width="15.36328125" bestFit="1" customWidth="1"/>
    <col min="60" max="60" width="18.81640625" bestFit="1" customWidth="1"/>
    <col min="61" max="61" width="27.81640625" bestFit="1" customWidth="1"/>
    <col min="62" max="62" width="20.81640625" bestFit="1" customWidth="1"/>
    <col min="63" max="63" width="26.36328125" bestFit="1" customWidth="1"/>
    <col min="64" max="64" width="18.6328125" bestFit="1" customWidth="1"/>
    <col min="65" max="65" width="18.453125" bestFit="1" customWidth="1"/>
    <col min="66" max="66" width="14.90625" bestFit="1" customWidth="1"/>
    <col min="67" max="67" width="20.1796875" bestFit="1" customWidth="1"/>
  </cols>
  <sheetData>
    <row r="1" spans="1:67" s="115" customFormat="1" ht="30" customHeight="1" x14ac:dyDescent="0.35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5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5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5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5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5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5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5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5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5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5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5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5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5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5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5" x14ac:dyDescent="0.35"/>
  <cols>
    <col min="1" max="1" width="14.08984375" bestFit="1" customWidth="1"/>
    <col min="2" max="2" width="9.90625" bestFit="1" customWidth="1"/>
    <col min="3" max="3" width="15.36328125" customWidth="1"/>
    <col min="4" max="4" width="15.08984375" customWidth="1"/>
    <col min="5" max="5" width="19.453125" customWidth="1"/>
    <col min="6" max="6" width="18" customWidth="1"/>
    <col min="7" max="7" width="17.453125" customWidth="1"/>
    <col min="8" max="8" width="18.6328125" customWidth="1"/>
    <col min="9" max="9" width="22.453125" bestFit="1" customWidth="1"/>
    <col min="10" max="10" width="13.90625" customWidth="1"/>
    <col min="11" max="11" width="19.90625" customWidth="1"/>
    <col min="12" max="12" width="11.36328125" customWidth="1"/>
    <col min="13" max="13" width="16" bestFit="1" customWidth="1"/>
    <col min="14" max="14" width="15" customWidth="1"/>
    <col min="15" max="15" width="12.81640625" bestFit="1" customWidth="1"/>
    <col min="16" max="16" width="14.81640625" bestFit="1" customWidth="1"/>
    <col min="17" max="17" width="14.08984375" bestFit="1" customWidth="1"/>
    <col min="18" max="19" width="18.1796875" bestFit="1" customWidth="1"/>
    <col min="20" max="20" width="16.1796875" bestFit="1" customWidth="1"/>
    <col min="21" max="22" width="22.453125" bestFit="1" customWidth="1"/>
    <col min="23" max="23" width="17.453125" bestFit="1" customWidth="1"/>
    <col min="24" max="24" width="18.453125" bestFit="1" customWidth="1"/>
    <col min="25" max="25" width="16.453125" bestFit="1" customWidth="1"/>
    <col min="26" max="26" width="19.90625" bestFit="1" customWidth="1"/>
    <col min="27" max="27" width="18.36328125" bestFit="1" customWidth="1"/>
    <col min="28" max="28" width="18.81640625" bestFit="1" customWidth="1"/>
    <col min="29" max="29" width="18.1796875" bestFit="1" customWidth="1"/>
    <col min="30" max="30" width="24" bestFit="1" customWidth="1"/>
    <col min="31" max="31" width="23.36328125" bestFit="1" customWidth="1"/>
    <col min="32" max="33" width="21.08984375" bestFit="1" customWidth="1"/>
    <col min="34" max="34" width="26.08984375" bestFit="1" customWidth="1"/>
    <col min="35" max="35" width="30.1796875" bestFit="1" customWidth="1"/>
    <col min="36" max="36" width="35.08984375" bestFit="1" customWidth="1"/>
    <col min="37" max="37" width="30.36328125" bestFit="1" customWidth="1"/>
    <col min="38" max="38" width="22.1796875" bestFit="1" customWidth="1"/>
    <col min="39" max="39" width="23.453125" bestFit="1" customWidth="1"/>
    <col min="40" max="40" width="17.1796875" bestFit="1" customWidth="1"/>
    <col min="41" max="41" width="19" bestFit="1" customWidth="1"/>
    <col min="42" max="42" width="18.08984375" bestFit="1" customWidth="1"/>
    <col min="43" max="43" width="18.1796875" bestFit="1" customWidth="1"/>
    <col min="44" max="44" width="16" bestFit="1" customWidth="1"/>
    <col min="45" max="45" width="26.54296875" bestFit="1" customWidth="1"/>
    <col min="46" max="46" width="24.36328125" bestFit="1" customWidth="1"/>
    <col min="47" max="47" width="22.453125" bestFit="1" customWidth="1"/>
    <col min="48" max="49" width="18" bestFit="1" customWidth="1"/>
    <col min="50" max="50" width="21.36328125" bestFit="1" customWidth="1"/>
    <col min="51" max="51" width="19" bestFit="1" customWidth="1"/>
    <col min="52" max="52" width="22.90625" bestFit="1" customWidth="1"/>
    <col min="53" max="53" width="20.54296875" bestFit="1" customWidth="1"/>
    <col min="54" max="54" width="27.54296875" bestFit="1" customWidth="1"/>
    <col min="55" max="55" width="22.1796875" bestFit="1" customWidth="1"/>
    <col min="56" max="56" width="18.6328125" bestFit="1" customWidth="1"/>
    <col min="57" max="57" width="15.36328125" bestFit="1" customWidth="1"/>
    <col min="58" max="58" width="12.453125" bestFit="1" customWidth="1"/>
    <col min="59" max="59" width="24.81640625" customWidth="1"/>
    <col min="60" max="60" width="16" bestFit="1" customWidth="1"/>
    <col min="61" max="61" width="13.1796875" bestFit="1" customWidth="1"/>
    <col min="62" max="62" width="15.36328125" bestFit="1" customWidth="1"/>
    <col min="63" max="63" width="18.81640625" bestFit="1" customWidth="1"/>
    <col min="64" max="64" width="27.81640625" bestFit="1" customWidth="1"/>
    <col min="65" max="65" width="20.81640625" bestFit="1" customWidth="1"/>
    <col min="66" max="66" width="26.36328125" bestFit="1" customWidth="1"/>
    <col min="67" max="67" width="18.6328125" bestFit="1" customWidth="1"/>
    <col min="68" max="68" width="18.453125" bestFit="1" customWidth="1"/>
    <col min="69" max="69" width="14.90625" bestFit="1" customWidth="1"/>
    <col min="70" max="71" width="20.1796875" bestFit="1" customWidth="1"/>
    <col min="72" max="72" width="15" bestFit="1" customWidth="1"/>
    <col min="73" max="73" width="11.54296875" bestFit="1" customWidth="1"/>
    <col min="74" max="74" width="15" bestFit="1" customWidth="1"/>
    <col min="75" max="75" width="18.1796875" bestFit="1" customWidth="1"/>
    <col min="76" max="76" width="9.6328125" bestFit="1" customWidth="1"/>
    <col min="77" max="77" width="14" bestFit="1" customWidth="1"/>
    <col min="78" max="78" width="12.36328125" bestFit="1" customWidth="1"/>
    <col min="79" max="79" width="17.6328125" bestFit="1" customWidth="1"/>
    <col min="80" max="80" width="19.90625" bestFit="1" customWidth="1"/>
    <col min="81" max="81" width="26" bestFit="1" customWidth="1"/>
    <col min="82" max="82" width="12.81640625" bestFit="1" customWidth="1"/>
    <col min="83" max="83" width="19.6328125" bestFit="1" customWidth="1"/>
    <col min="84" max="84" width="10.90625" bestFit="1" customWidth="1"/>
    <col min="85" max="85" width="11" bestFit="1" customWidth="1"/>
    <col min="86" max="86" width="16" customWidth="1"/>
    <col min="87" max="87" width="13.90625" bestFit="1" customWidth="1"/>
    <col min="88" max="88" width="21" bestFit="1" customWidth="1"/>
    <col min="89" max="89" width="15.453125" bestFit="1" customWidth="1"/>
    <col min="90" max="90" width="17.453125" bestFit="1" customWidth="1"/>
    <col min="91" max="91" width="15.08984375" bestFit="1" customWidth="1"/>
    <col min="92" max="92" width="15.81640625" bestFit="1" customWidth="1"/>
    <col min="93" max="93" width="25" bestFit="1" customWidth="1"/>
    <col min="94" max="94" width="14.453125" bestFit="1" customWidth="1"/>
    <col min="95" max="96" width="18.453125" bestFit="1" customWidth="1"/>
    <col min="97" max="98" width="18.453125" customWidth="1"/>
    <col min="99" max="99" width="16.08984375" customWidth="1"/>
    <col min="100" max="101" width="19.54296875" bestFit="1" customWidth="1"/>
    <col min="102" max="102" width="11.08984375" bestFit="1" customWidth="1"/>
    <col min="103" max="103" width="15.6328125" bestFit="1" customWidth="1"/>
    <col min="104" max="104" width="16.81640625" bestFit="1" customWidth="1"/>
    <col min="105" max="106" width="9" bestFit="1" customWidth="1"/>
    <col min="107" max="107" width="10.1796875" bestFit="1" customWidth="1"/>
    <col min="108" max="108" width="11.54296875" bestFit="1" customWidth="1"/>
    <col min="109" max="109" width="8.08984375" bestFit="1" customWidth="1"/>
    <col min="110" max="110" width="13.54296875" bestFit="1" customWidth="1"/>
    <col min="111" max="111" width="17.453125" bestFit="1" customWidth="1"/>
    <col min="112" max="112" width="14.1796875" bestFit="1" customWidth="1"/>
    <col min="113" max="113" width="15.36328125" bestFit="1" customWidth="1"/>
    <col min="114" max="114" width="22.1796875" bestFit="1" customWidth="1"/>
    <col min="115" max="115" width="18.453125" bestFit="1" customWidth="1"/>
    <col min="116" max="116" width="19.81640625" bestFit="1" customWidth="1"/>
    <col min="117" max="117" width="16" bestFit="1" customWidth="1"/>
    <col min="118" max="118" width="23.36328125" bestFit="1" customWidth="1"/>
    <col min="119" max="119" width="28.08984375" bestFit="1" customWidth="1"/>
    <col min="120" max="120" width="23.453125" bestFit="1" customWidth="1"/>
    <col min="121" max="121" width="20.90625" bestFit="1" customWidth="1"/>
    <col min="122" max="122" width="25.81640625" bestFit="1" customWidth="1"/>
    <col min="123" max="123" width="23.6328125" bestFit="1" customWidth="1"/>
    <col min="124" max="125" width="24.36328125" bestFit="1" customWidth="1"/>
    <col min="126" max="126" width="18.36328125" customWidth="1"/>
    <col min="127" max="127" width="18.36328125" bestFit="1" customWidth="1"/>
    <col min="128" max="128" width="10.36328125" bestFit="1" customWidth="1"/>
    <col min="129" max="129" width="11.08984375" bestFit="1" customWidth="1"/>
    <col min="130" max="130" width="12.1796875" bestFit="1" customWidth="1"/>
    <col min="131" max="131" width="8" bestFit="1" customWidth="1"/>
    <col min="132" max="132" width="9" bestFit="1" customWidth="1"/>
    <col min="133" max="133" width="7.08984375" bestFit="1" customWidth="1"/>
    <col min="134" max="134" width="17.36328125" bestFit="1" customWidth="1"/>
    <col min="135" max="135" width="22.90625" bestFit="1" customWidth="1"/>
    <col min="137" max="137" width="9.08984375" bestFit="1" customWidth="1"/>
    <col min="138" max="138" width="19.08984375" bestFit="1" customWidth="1"/>
    <col min="139" max="139" width="21.54296875" bestFit="1" customWidth="1"/>
    <col min="140" max="140" width="12.81640625" bestFit="1" customWidth="1"/>
    <col min="141" max="141" width="13.36328125" bestFit="1" customWidth="1"/>
    <col min="142" max="142" width="20.6328125" bestFit="1" customWidth="1"/>
    <col min="143" max="143" width="12.6328125" bestFit="1" customWidth="1"/>
    <col min="144" max="145" width="36.90625" bestFit="1" customWidth="1"/>
    <col min="146" max="146" width="31.08984375" bestFit="1" customWidth="1"/>
    <col min="147" max="147" width="31.08984375" customWidth="1"/>
    <col min="148" max="149" width="23.36328125" customWidth="1"/>
    <col min="150" max="150" width="31.08984375" bestFit="1" customWidth="1"/>
    <col min="151" max="151" width="23.36328125" customWidth="1"/>
    <col min="152" max="152" width="23.36328125" bestFit="1" customWidth="1"/>
    <col min="153" max="153" width="146.90625" bestFit="1" customWidth="1"/>
    <col min="154" max="154" width="34.90625" bestFit="1" customWidth="1"/>
    <col min="155" max="156" width="23.54296875" bestFit="1" customWidth="1"/>
    <col min="157" max="157" width="18.90625" bestFit="1" customWidth="1"/>
    <col min="158" max="158" width="14.90625" bestFit="1" customWidth="1"/>
    <col min="159" max="159" width="22.81640625" bestFit="1" customWidth="1"/>
    <col min="160" max="160" width="23.90625" bestFit="1" customWidth="1"/>
    <col min="161" max="161" width="9" bestFit="1" customWidth="1"/>
    <col min="162" max="162" width="21.6328125" bestFit="1" customWidth="1"/>
    <col min="163" max="163" width="16.6328125" bestFit="1" customWidth="1"/>
    <col min="164" max="164" width="38.1796875" bestFit="1" customWidth="1"/>
    <col min="165" max="166" width="18.36328125" bestFit="1" customWidth="1"/>
  </cols>
  <sheetData>
    <row r="1" spans="1:166" ht="33" customHeight="1" x14ac:dyDescent="0.35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5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5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5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5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5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JK16"/>
  <sheetViews>
    <sheetView tabSelected="1" topLeftCell="IT1" workbookViewId="0">
      <selection activeCell="IV2" sqref="IV2"/>
    </sheetView>
  </sheetViews>
  <sheetFormatPr defaultColWidth="9.08984375" defaultRowHeight="14.5" x14ac:dyDescent="0.35"/>
  <cols>
    <col min="1" max="1" width="14.08984375" bestFit="1" customWidth="1"/>
    <col min="2" max="3" width="12.542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8" width="20.453125" bestFit="1" customWidth="1"/>
    <col min="9" max="9" width="15.54296875" bestFit="1" customWidth="1"/>
    <col min="10" max="10" width="12.1796875" bestFit="1" customWidth="1"/>
    <col min="11" max="11" width="15.6328125" bestFit="1" customWidth="1"/>
    <col min="12" max="12" width="22.54296875" bestFit="1" customWidth="1"/>
    <col min="13" max="13" width="13.81640625" bestFit="1" customWidth="1"/>
    <col min="14" max="14" width="12.90625" bestFit="1" customWidth="1"/>
    <col min="15" max="15" width="10.08984375" bestFit="1" customWidth="1"/>
    <col min="16" max="16" width="24.6328125" bestFit="1" customWidth="1"/>
    <col min="17" max="17" width="12.1796875" bestFit="1" customWidth="1"/>
    <col min="18" max="18" width="15.6328125" bestFit="1" customWidth="1"/>
    <col min="19" max="22" width="27.90625" customWidth="1"/>
    <col min="23" max="23" width="23.1796875" bestFit="1" customWidth="1"/>
    <col min="24" max="24" width="14.90625" bestFit="1" customWidth="1"/>
    <col min="25" max="25" width="14.90625" customWidth="1"/>
    <col min="26" max="26" width="15.54296875" bestFit="1" customWidth="1"/>
    <col min="27" max="27" width="15.36328125" bestFit="1" customWidth="1"/>
    <col min="28" max="28" width="11.81640625" bestFit="1" customWidth="1"/>
    <col min="29" max="29" width="13.1796875" bestFit="1" customWidth="1"/>
    <col min="30" max="30" width="14.453125" bestFit="1" customWidth="1"/>
    <col min="31" max="31" width="19.36328125" bestFit="1" customWidth="1"/>
    <col min="32" max="32" width="9.90625" bestFit="1" customWidth="1"/>
    <col min="33" max="33" width="14" bestFit="1" customWidth="1"/>
    <col min="34" max="34" width="11.453125" bestFit="1" customWidth="1"/>
    <col min="35" max="35" width="17.36328125" bestFit="1" customWidth="1"/>
    <col min="36" max="36" width="12.90625" bestFit="1" customWidth="1"/>
    <col min="37" max="37" width="13.08984375" bestFit="1" customWidth="1"/>
    <col min="38" max="38" width="18" bestFit="1" customWidth="1"/>
    <col min="39" max="39" width="22.453125" bestFit="1" customWidth="1"/>
    <col min="40" max="40" width="9.453125" bestFit="1" customWidth="1"/>
    <col min="41" max="41" width="12.6328125" bestFit="1" customWidth="1"/>
    <col min="42" max="42" width="11.36328125" bestFit="1" customWidth="1"/>
    <col min="43" max="43" width="16" bestFit="1" customWidth="1"/>
    <col min="44" max="44" width="15" bestFit="1" customWidth="1"/>
    <col min="45" max="45" width="12.81640625" bestFit="1" customWidth="1"/>
    <col min="46" max="46" width="14.81640625" bestFit="1" customWidth="1"/>
    <col min="47" max="47" width="14.08984375" bestFit="1" customWidth="1"/>
    <col min="48" max="49" width="18.1796875" bestFit="1" customWidth="1"/>
    <col min="50" max="50" width="16.1796875" bestFit="1" customWidth="1"/>
    <col min="51" max="52" width="22.453125" bestFit="1" customWidth="1"/>
    <col min="53" max="53" width="17.453125" bestFit="1" customWidth="1"/>
    <col min="54" max="54" width="18.453125" bestFit="1" customWidth="1"/>
    <col min="55" max="55" width="16.453125" bestFit="1" customWidth="1"/>
    <col min="56" max="56" width="19.90625" bestFit="1" customWidth="1"/>
    <col min="57" max="57" width="18.36328125" bestFit="1" customWidth="1"/>
    <col min="58" max="58" width="18.81640625" bestFit="1" customWidth="1"/>
    <col min="59" max="59" width="18.1796875" bestFit="1" customWidth="1"/>
    <col min="60" max="60" width="24" bestFit="1" customWidth="1"/>
    <col min="61" max="61" width="23.36328125" bestFit="1" customWidth="1"/>
    <col min="62" max="62" width="16.1796875" bestFit="1" customWidth="1"/>
    <col min="63" max="63" width="21.08984375" bestFit="1" customWidth="1"/>
    <col min="64" max="64" width="10.81640625" bestFit="1" customWidth="1"/>
    <col min="65" max="65" width="26.08984375" bestFit="1" customWidth="1"/>
    <col min="66" max="66" width="30.1796875" bestFit="1" customWidth="1"/>
    <col min="67" max="67" width="35.08984375" bestFit="1" customWidth="1"/>
    <col min="68" max="68" width="30.36328125" bestFit="1" customWidth="1"/>
    <col min="69" max="69" width="22.1796875" bestFit="1" customWidth="1"/>
    <col min="70" max="70" width="23.453125" bestFit="1" customWidth="1"/>
    <col min="71" max="71" width="17.6328125" bestFit="1" customWidth="1"/>
    <col min="72" max="72" width="19" bestFit="1" customWidth="1"/>
    <col min="73" max="73" width="18.08984375" bestFit="1" customWidth="1"/>
    <col min="74" max="74" width="18.1796875" bestFit="1" customWidth="1"/>
    <col min="75" max="75" width="16" bestFit="1" customWidth="1"/>
    <col min="76" max="76" width="26.54296875" bestFit="1" customWidth="1"/>
    <col min="77" max="77" width="24.36328125" bestFit="1" customWidth="1"/>
    <col min="78" max="78" width="22.453125" bestFit="1" customWidth="1"/>
    <col min="79" max="79" width="18" bestFit="1" customWidth="1"/>
    <col min="80" max="80" width="14.54296875" bestFit="1" customWidth="1"/>
    <col min="81" max="81" width="21.36328125" bestFit="1" customWidth="1"/>
    <col min="82" max="82" width="19" bestFit="1" customWidth="1"/>
    <col min="83" max="83" width="22.90625" bestFit="1" customWidth="1"/>
    <col min="84" max="84" width="20.54296875" bestFit="1" customWidth="1"/>
    <col min="85" max="85" width="27.54296875" bestFit="1" customWidth="1"/>
    <col min="86" max="86" width="22.1796875" bestFit="1" customWidth="1"/>
    <col min="87" max="87" width="18.6328125" bestFit="1" customWidth="1"/>
    <col min="88" max="88" width="15.36328125" bestFit="1" customWidth="1"/>
    <col min="89" max="89" width="18.08984375" bestFit="1" customWidth="1"/>
    <col min="90" max="90" width="16.81640625" bestFit="1" customWidth="1"/>
    <col min="91" max="91" width="16" bestFit="1" customWidth="1"/>
    <col min="92" max="92" width="13.1796875" bestFit="1" customWidth="1"/>
    <col min="93" max="93" width="15.36328125" bestFit="1" customWidth="1"/>
    <col min="94" max="94" width="18.81640625" bestFit="1" customWidth="1"/>
    <col min="95" max="95" width="27.81640625" bestFit="1" customWidth="1"/>
    <col min="96" max="96" width="20.81640625" bestFit="1" customWidth="1"/>
    <col min="97" max="97" width="26.36328125" bestFit="1" customWidth="1"/>
    <col min="98" max="98" width="18.6328125" bestFit="1" customWidth="1"/>
    <col min="99" max="99" width="18.453125" bestFit="1" customWidth="1"/>
    <col min="100" max="100" width="14.90625" bestFit="1" customWidth="1"/>
    <col min="101" max="101" width="20.1796875" bestFit="1" customWidth="1"/>
    <col min="102" max="102" width="8.36328125" bestFit="1" customWidth="1"/>
    <col min="103" max="103" width="12.1796875" bestFit="1" customWidth="1"/>
    <col min="104" max="104" width="17.453125" customWidth="1"/>
    <col min="105" max="105" width="20.453125" customWidth="1"/>
    <col min="106" max="106" width="15" bestFit="1" customWidth="1"/>
    <col min="107" max="107" width="11.54296875" bestFit="1" customWidth="1"/>
    <col min="108" max="108" width="15" bestFit="1" customWidth="1"/>
    <col min="109" max="109" width="18.1796875" bestFit="1" customWidth="1"/>
    <col min="110" max="114" width="18.1796875" customWidth="1"/>
    <col min="115" max="115" width="20.453125" bestFit="1" customWidth="1"/>
    <col min="116" max="116" width="20.453125" customWidth="1"/>
    <col min="117" max="117" width="9.6328125" bestFit="1" customWidth="1"/>
    <col min="118" max="118" width="14" bestFit="1" customWidth="1"/>
    <col min="119" max="119" width="12.36328125" bestFit="1" customWidth="1"/>
    <col min="120" max="120" width="17.6328125" bestFit="1" customWidth="1"/>
    <col min="121" max="121" width="19.90625" bestFit="1" customWidth="1"/>
    <col min="122" max="122" width="27.453125" bestFit="1" customWidth="1"/>
    <col min="123" max="124" width="27.453125" customWidth="1"/>
    <col min="125" max="125" width="26" bestFit="1" customWidth="1"/>
    <col min="126" max="129" width="26" customWidth="1"/>
    <col min="130" max="132" width="29.453125" customWidth="1"/>
    <col min="133" max="133" width="12.81640625" bestFit="1" customWidth="1"/>
    <col min="134" max="134" width="19.6328125" bestFit="1" customWidth="1"/>
    <col min="135" max="135" width="18.81640625" bestFit="1" customWidth="1"/>
    <col min="136" max="136" width="11" bestFit="1" customWidth="1"/>
    <col min="137" max="137" width="12.54296875" bestFit="1" customWidth="1"/>
    <col min="138" max="138" width="13.90625" bestFit="1" customWidth="1"/>
    <col min="139" max="139" width="21" bestFit="1" customWidth="1"/>
    <col min="140" max="140" width="15.453125" bestFit="1" customWidth="1"/>
    <col min="141" max="141" width="17.453125" bestFit="1" customWidth="1"/>
    <col min="142" max="142" width="17.1796875" bestFit="1" customWidth="1"/>
    <col min="143" max="143" width="15.81640625" bestFit="1" customWidth="1"/>
    <col min="144" max="144" width="17.453125" bestFit="1" customWidth="1"/>
    <col min="145" max="145" width="18" bestFit="1" customWidth="1"/>
    <col min="146" max="146" width="18" customWidth="1"/>
    <col min="147" max="147" width="25" bestFit="1" customWidth="1"/>
    <col min="148" max="148" width="11.6328125" bestFit="1" customWidth="1"/>
    <col min="149" max="149" width="15.08984375" bestFit="1" customWidth="1"/>
    <col min="150" max="150" width="14.453125" bestFit="1" customWidth="1"/>
    <col min="151" max="151" width="18.453125" bestFit="1" customWidth="1"/>
    <col min="152" max="152" width="19.453125" bestFit="1" customWidth="1"/>
    <col min="153" max="153" width="10.6328125" bestFit="1" customWidth="1"/>
    <col min="154" max="154" width="23.7265625" customWidth="1"/>
    <col min="155" max="155" width="12.08984375" bestFit="1" customWidth="1"/>
    <col min="156" max="156" width="12.81640625" bestFit="1" customWidth="1"/>
    <col min="157" max="157" width="12.1796875" bestFit="1" customWidth="1"/>
    <col min="158" max="158" width="19.54296875" bestFit="1" customWidth="1"/>
    <col min="159" max="159" width="11.08984375" bestFit="1" customWidth="1"/>
    <col min="160" max="160" width="15.6328125" bestFit="1" customWidth="1"/>
    <col min="161" max="162" width="15.6328125" customWidth="1"/>
    <col min="163" max="173" width="20" customWidth="1"/>
    <col min="174" max="174" width="13.90625" bestFit="1" customWidth="1"/>
    <col min="175" max="175" width="16.81640625" bestFit="1" customWidth="1"/>
    <col min="176" max="176" width="9" bestFit="1" customWidth="1"/>
    <col min="177" max="177" width="10" bestFit="1" customWidth="1"/>
    <col min="178" max="178" width="22.1796875" bestFit="1" customWidth="1"/>
    <col min="179" max="179" width="11.54296875" bestFit="1" customWidth="1"/>
    <col min="180" max="180" width="16" bestFit="1" customWidth="1"/>
    <col min="181" max="181" width="13.54296875" bestFit="1" customWidth="1"/>
    <col min="182" max="182" width="17.453125" bestFit="1" customWidth="1"/>
    <col min="183" max="183" width="19.453125" bestFit="1" customWidth="1"/>
    <col min="184" max="184" width="17.1796875" bestFit="1" customWidth="1"/>
    <col min="185" max="185" width="22.1796875" bestFit="1" customWidth="1"/>
    <col min="186" max="186" width="18.453125" bestFit="1" customWidth="1"/>
    <col min="187" max="187" width="19.81640625" bestFit="1" customWidth="1"/>
    <col min="188" max="188" width="16" bestFit="1" customWidth="1"/>
    <col min="189" max="189" width="23.36328125" bestFit="1" customWidth="1"/>
    <col min="190" max="190" width="28.08984375" bestFit="1" customWidth="1"/>
    <col min="191" max="191" width="23.453125" bestFit="1" customWidth="1"/>
    <col min="192" max="192" width="20.90625" bestFit="1" customWidth="1"/>
    <col min="193" max="193" width="25.81640625" bestFit="1" customWidth="1"/>
    <col min="194" max="194" width="23.6328125" bestFit="1" customWidth="1"/>
    <col min="195" max="195" width="24.36328125" bestFit="1" customWidth="1"/>
    <col min="196" max="196" width="13.54296875" bestFit="1" customWidth="1"/>
    <col min="197" max="197" width="18.36328125" bestFit="1" customWidth="1"/>
    <col min="198" max="198" width="19.08984375" bestFit="1" customWidth="1"/>
    <col min="199" max="199" width="19.08984375" customWidth="1"/>
    <col min="200" max="200" width="10.36328125" bestFit="1" customWidth="1"/>
    <col min="201" max="201" width="11.08984375" bestFit="1" customWidth="1"/>
    <col min="202" max="202" width="19.6328125" bestFit="1" customWidth="1"/>
    <col min="203" max="203" width="14" bestFit="1" customWidth="1"/>
    <col min="204" max="204" width="13.453125" bestFit="1" customWidth="1"/>
    <col min="205" max="205" width="18.453125" bestFit="1" customWidth="1"/>
    <col min="206" max="206" width="17.36328125" bestFit="1" customWidth="1"/>
    <col min="207" max="207" width="20.1796875" bestFit="1" customWidth="1"/>
    <col min="208" max="208" width="22.90625" bestFit="1" customWidth="1"/>
    <col min="209" max="209" width="8.90625" bestFit="1" customWidth="1"/>
    <col min="211" max="211" width="19.08984375" bestFit="1" customWidth="1"/>
    <col min="212" max="212" width="21.54296875" bestFit="1" customWidth="1"/>
    <col min="213" max="213" width="17.1796875" bestFit="1" customWidth="1"/>
    <col min="214" max="214" width="13.36328125" bestFit="1" customWidth="1"/>
    <col min="215" max="216" width="20.6328125" customWidth="1"/>
    <col min="217" max="218" width="25.1796875" customWidth="1"/>
    <col min="219" max="219" width="20.6328125" bestFit="1" customWidth="1"/>
    <col min="220" max="220" width="12.6328125" bestFit="1" customWidth="1"/>
    <col min="221" max="221" width="36.90625" bestFit="1" customWidth="1"/>
    <col min="222" max="222" width="31.08984375" bestFit="1" customWidth="1"/>
    <col min="223" max="223" width="10" bestFit="1" customWidth="1"/>
    <col min="224" max="224" width="21.36328125" bestFit="1" customWidth="1"/>
    <col min="225" max="225" width="20" bestFit="1" customWidth="1"/>
    <col min="226" max="226" width="31.08984375" bestFit="1" customWidth="1"/>
    <col min="227" max="227" width="12.36328125" bestFit="1" customWidth="1"/>
    <col min="228" max="228" width="11.54296875" bestFit="1" customWidth="1"/>
    <col min="229" max="229" width="11" bestFit="1" customWidth="1"/>
    <col min="230" max="230" width="14.90625" bestFit="1" customWidth="1"/>
    <col min="231" max="231" width="13.90625" bestFit="1" customWidth="1"/>
    <col min="232" max="232" width="11.6328125" bestFit="1" customWidth="1"/>
    <col min="233" max="233" width="13.6328125" bestFit="1" customWidth="1"/>
    <col min="234" max="234" width="12.90625" bestFit="1" customWidth="1"/>
    <col min="235" max="236" width="17" bestFit="1" customWidth="1"/>
    <col min="237" max="237" width="15.08984375" bestFit="1" customWidth="1"/>
    <col min="238" max="239" width="21.36328125" bestFit="1" customWidth="1"/>
    <col min="240" max="240" width="21.36328125" customWidth="1"/>
    <col min="241" max="241" width="17.6328125" bestFit="1" customWidth="1"/>
    <col min="242" max="242" width="24.08984375" bestFit="1" customWidth="1"/>
    <col min="243" max="243" width="22.90625" bestFit="1" customWidth="1"/>
    <col min="244" max="244" width="15.08984375" bestFit="1" customWidth="1"/>
    <col min="245" max="245" width="20" bestFit="1" customWidth="1"/>
    <col min="246" max="246" width="20" customWidth="1"/>
    <col min="247" max="248" width="26.453125" customWidth="1"/>
    <col min="249" max="249" width="24.90625" bestFit="1" customWidth="1"/>
    <col min="250" max="250" width="29" bestFit="1" customWidth="1"/>
    <col min="251" max="251" width="29" customWidth="1"/>
    <col min="252" max="252" width="34" bestFit="1" customWidth="1"/>
    <col min="253" max="253" width="29.08984375" bestFit="1" customWidth="1"/>
    <col min="254" max="254" width="22" bestFit="1" customWidth="1"/>
    <col min="255" max="255" width="22.36328125" bestFit="1" customWidth="1"/>
    <col min="256" max="256" width="6.81640625" bestFit="1" customWidth="1"/>
    <col min="257" max="257" width="23.36328125" bestFit="1" customWidth="1"/>
    <col min="258" max="258" width="146.90625" bestFit="1" customWidth="1"/>
    <col min="259" max="259" width="9.6328125" bestFit="1" customWidth="1"/>
    <col min="260" max="260" width="34.90625" bestFit="1" customWidth="1"/>
    <col min="261" max="261" width="23.54296875" bestFit="1" customWidth="1"/>
    <col min="262" max="262" width="16" bestFit="1" customWidth="1"/>
    <col min="263" max="263" width="18.90625" bestFit="1" customWidth="1"/>
    <col min="264" max="264" width="14.90625" bestFit="1" customWidth="1"/>
    <col min="265" max="265" width="22.81640625" bestFit="1" customWidth="1"/>
    <col min="266" max="266" width="23.90625" bestFit="1" customWidth="1"/>
    <col min="267" max="267" width="9" bestFit="1" customWidth="1"/>
    <col min="268" max="268" width="21.6328125" bestFit="1" customWidth="1"/>
    <col min="269" max="269" width="16.6328125" bestFit="1" customWidth="1"/>
    <col min="270" max="270" width="38.1796875" bestFit="1" customWidth="1"/>
    <col min="271" max="271" width="18.36328125" bestFit="1" customWidth="1"/>
  </cols>
  <sheetData>
    <row r="1" spans="1:271" s="138" customFormat="1" ht="31.25" customHeight="1" x14ac:dyDescent="0.35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906</v>
      </c>
      <c r="DB1" s="132" t="s">
        <v>518</v>
      </c>
      <c r="DC1" s="132" t="s">
        <v>556</v>
      </c>
      <c r="DD1" s="132" t="s">
        <v>557</v>
      </c>
      <c r="DE1" s="132" t="s">
        <v>558</v>
      </c>
      <c r="DF1" s="132" t="s">
        <v>882</v>
      </c>
      <c r="DG1" s="132" t="s">
        <v>880</v>
      </c>
      <c r="DH1" s="132" t="s">
        <v>881</v>
      </c>
      <c r="DI1" s="132" t="s">
        <v>892</v>
      </c>
      <c r="DJ1" s="132" t="s">
        <v>877</v>
      </c>
      <c r="DK1" s="132" t="s">
        <v>878</v>
      </c>
      <c r="DL1" s="132" t="s">
        <v>879</v>
      </c>
      <c r="DM1" s="132" t="s">
        <v>559</v>
      </c>
      <c r="DN1" s="132" t="s">
        <v>560</v>
      </c>
      <c r="DO1" s="132" t="s">
        <v>561</v>
      </c>
      <c r="DP1" s="132" t="s">
        <v>562</v>
      </c>
      <c r="DQ1" s="132" t="s">
        <v>563</v>
      </c>
      <c r="DR1" s="132" t="s">
        <v>883</v>
      </c>
      <c r="DS1" s="132" t="s">
        <v>884</v>
      </c>
      <c r="DT1" s="132" t="s">
        <v>894</v>
      </c>
      <c r="DU1" s="132" t="s">
        <v>564</v>
      </c>
      <c r="DV1" s="132" t="s">
        <v>970</v>
      </c>
      <c r="DW1" s="132" t="s">
        <v>972</v>
      </c>
      <c r="DX1" s="132" t="s">
        <v>974</v>
      </c>
      <c r="DY1" s="132" t="s">
        <v>975</v>
      </c>
      <c r="DZ1" s="132" t="s">
        <v>977</v>
      </c>
      <c r="EA1" s="132" t="s">
        <v>979</v>
      </c>
      <c r="EB1" s="132" t="s">
        <v>980</v>
      </c>
      <c r="EC1" s="132" t="s">
        <v>565</v>
      </c>
      <c r="ED1" s="132" t="s">
        <v>566</v>
      </c>
      <c r="EE1" s="132" t="s">
        <v>567</v>
      </c>
      <c r="EF1" s="132" t="s">
        <v>568</v>
      </c>
      <c r="EG1" s="132" t="s">
        <v>569</v>
      </c>
      <c r="EH1" s="132" t="s">
        <v>570</v>
      </c>
      <c r="EI1" s="132" t="s">
        <v>571</v>
      </c>
      <c r="EJ1" s="132" t="s">
        <v>572</v>
      </c>
      <c r="EK1" s="132" t="s">
        <v>573</v>
      </c>
      <c r="EL1" s="132" t="s">
        <v>574</v>
      </c>
      <c r="EM1" s="132" t="s">
        <v>575</v>
      </c>
      <c r="EN1" s="132" t="s">
        <v>885</v>
      </c>
      <c r="EO1" s="132" t="s">
        <v>886</v>
      </c>
      <c r="EP1" s="132" t="s">
        <v>887</v>
      </c>
      <c r="EQ1" s="132" t="s">
        <v>576</v>
      </c>
      <c r="ER1" s="132" t="s">
        <v>888</v>
      </c>
      <c r="ES1" s="132" t="s">
        <v>889</v>
      </c>
      <c r="ET1" s="133" t="s">
        <v>577</v>
      </c>
      <c r="EU1" s="134" t="s">
        <v>579</v>
      </c>
      <c r="EV1" s="134" t="s">
        <v>799</v>
      </c>
      <c r="EW1" s="134" t="s">
        <v>603</v>
      </c>
      <c r="EX1" s="134" t="s">
        <v>968</v>
      </c>
      <c r="EY1" s="134" t="s">
        <v>604</v>
      </c>
      <c r="EZ1" s="134" t="s">
        <v>580</v>
      </c>
      <c r="FA1" s="134" t="s">
        <v>581</v>
      </c>
      <c r="FB1" s="134" t="s">
        <v>582</v>
      </c>
      <c r="FC1" s="134" t="s">
        <v>583</v>
      </c>
      <c r="FD1" s="165" t="s">
        <v>584</v>
      </c>
      <c r="FE1" s="134" t="s">
        <v>964</v>
      </c>
      <c r="FF1" s="134" t="s">
        <v>965</v>
      </c>
      <c r="FG1" s="238" t="s">
        <v>908</v>
      </c>
      <c r="FH1" s="238" t="s">
        <v>914</v>
      </c>
      <c r="FI1" s="238" t="s">
        <v>918</v>
      </c>
      <c r="FJ1" s="238" t="s">
        <v>919</v>
      </c>
      <c r="FK1" s="238" t="s">
        <v>924</v>
      </c>
      <c r="FL1" s="238" t="s">
        <v>925</v>
      </c>
      <c r="FM1" s="238" t="s">
        <v>935</v>
      </c>
      <c r="FN1" s="238" t="s">
        <v>948</v>
      </c>
      <c r="FO1" s="238" t="s">
        <v>936</v>
      </c>
      <c r="FP1" s="238" t="s">
        <v>940</v>
      </c>
      <c r="FQ1" s="238" t="s">
        <v>943</v>
      </c>
      <c r="FR1" s="86" t="s">
        <v>151</v>
      </c>
      <c r="FS1" s="86" t="s">
        <v>152</v>
      </c>
      <c r="FT1" s="86" t="s">
        <v>153</v>
      </c>
      <c r="FU1" s="86" t="s">
        <v>154</v>
      </c>
      <c r="FV1" s="86" t="s">
        <v>155</v>
      </c>
      <c r="FW1" s="86" t="s">
        <v>156</v>
      </c>
      <c r="FX1" s="86" t="s">
        <v>157</v>
      </c>
      <c r="FY1" s="86" t="s">
        <v>158</v>
      </c>
      <c r="FZ1" s="86" t="s">
        <v>159</v>
      </c>
      <c r="GA1" s="86" t="s">
        <v>160</v>
      </c>
      <c r="GB1" s="86" t="s">
        <v>161</v>
      </c>
      <c r="GC1" s="86" t="s">
        <v>162</v>
      </c>
      <c r="GD1" s="86" t="s">
        <v>163</v>
      </c>
      <c r="GE1" s="86" t="s">
        <v>164</v>
      </c>
      <c r="GF1" s="86" t="s">
        <v>165</v>
      </c>
      <c r="GG1" s="86" t="s">
        <v>166</v>
      </c>
      <c r="GH1" s="86" t="s">
        <v>503</v>
      </c>
      <c r="GI1" s="86" t="s">
        <v>167</v>
      </c>
      <c r="GJ1" s="86" t="s">
        <v>168</v>
      </c>
      <c r="GK1" s="86" t="s">
        <v>585</v>
      </c>
      <c r="GL1" s="86" t="s">
        <v>586</v>
      </c>
      <c r="GM1" s="86" t="s">
        <v>587</v>
      </c>
      <c r="GN1" s="86" t="s">
        <v>609</v>
      </c>
      <c r="GO1" s="90" t="s">
        <v>169</v>
      </c>
      <c r="GP1" s="132" t="s">
        <v>897</v>
      </c>
      <c r="GQ1" s="132" t="s">
        <v>183</v>
      </c>
      <c r="GR1" s="132" t="s">
        <v>187</v>
      </c>
      <c r="GS1" s="132" t="s">
        <v>188</v>
      </c>
      <c r="GT1" s="132" t="s">
        <v>189</v>
      </c>
      <c r="GU1" s="132" t="s">
        <v>190</v>
      </c>
      <c r="GV1" s="132" t="s">
        <v>191</v>
      </c>
      <c r="GW1" s="132" t="s">
        <v>192</v>
      </c>
      <c r="GX1" s="132" t="s">
        <v>392</v>
      </c>
      <c r="GY1" s="132" t="s">
        <v>898</v>
      </c>
      <c r="GZ1" s="132" t="s">
        <v>193</v>
      </c>
      <c r="HA1" s="132" t="s">
        <v>194</v>
      </c>
      <c r="HB1" s="132" t="s">
        <v>195</v>
      </c>
      <c r="HC1" s="132" t="s">
        <v>196</v>
      </c>
      <c r="HD1" s="132" t="s">
        <v>197</v>
      </c>
      <c r="HE1" s="132" t="s">
        <v>198</v>
      </c>
      <c r="HF1" s="133" t="s">
        <v>199</v>
      </c>
      <c r="HG1" s="132" t="s">
        <v>949</v>
      </c>
      <c r="HH1" s="132" t="s">
        <v>950</v>
      </c>
      <c r="HI1" s="132" t="s">
        <v>951</v>
      </c>
      <c r="HJ1" s="132" t="s">
        <v>952</v>
      </c>
      <c r="HK1" s="86" t="s">
        <v>219</v>
      </c>
      <c r="HL1" s="86" t="s">
        <v>220</v>
      </c>
      <c r="HM1" s="86" t="s">
        <v>221</v>
      </c>
      <c r="HN1" s="86" t="s">
        <v>222</v>
      </c>
      <c r="HO1" s="86" t="s">
        <v>611</v>
      </c>
      <c r="HP1" s="86" t="s">
        <v>610</v>
      </c>
      <c r="HQ1" s="86" t="s">
        <v>612</v>
      </c>
      <c r="HR1" s="86" t="s">
        <v>223</v>
      </c>
      <c r="HS1" s="86" t="s">
        <v>224</v>
      </c>
      <c r="HT1" s="86" t="s">
        <v>635</v>
      </c>
      <c r="HU1" s="86" t="s">
        <v>636</v>
      </c>
      <c r="HV1" s="86" t="s">
        <v>637</v>
      </c>
      <c r="HW1" s="86" t="s">
        <v>638</v>
      </c>
      <c r="HX1" s="86" t="s">
        <v>639</v>
      </c>
      <c r="HY1" s="86" t="s">
        <v>640</v>
      </c>
      <c r="HZ1" s="86" t="s">
        <v>641</v>
      </c>
      <c r="IA1" s="86" t="s">
        <v>642</v>
      </c>
      <c r="IB1" s="86" t="s">
        <v>643</v>
      </c>
      <c r="IC1" s="86" t="s">
        <v>644</v>
      </c>
      <c r="ID1" s="86" t="s">
        <v>645</v>
      </c>
      <c r="IE1" s="86" t="s">
        <v>646</v>
      </c>
      <c r="IF1" s="86" t="s">
        <v>958</v>
      </c>
      <c r="IG1" s="86" t="s">
        <v>647</v>
      </c>
      <c r="IH1" s="86" t="s">
        <v>648</v>
      </c>
      <c r="II1" s="86" t="s">
        <v>649</v>
      </c>
      <c r="IJ1" s="86" t="s">
        <v>650</v>
      </c>
      <c r="IK1" s="86" t="s">
        <v>651</v>
      </c>
      <c r="IL1" s="86" t="s">
        <v>959</v>
      </c>
      <c r="IM1" s="86" t="s">
        <v>960</v>
      </c>
      <c r="IN1" s="86" t="s">
        <v>961</v>
      </c>
      <c r="IO1" s="86" t="s">
        <v>652</v>
      </c>
      <c r="IP1" s="86" t="s">
        <v>653</v>
      </c>
      <c r="IQ1" s="86" t="s">
        <v>808</v>
      </c>
      <c r="IR1" s="86" t="s">
        <v>654</v>
      </c>
      <c r="IS1" s="86" t="s">
        <v>655</v>
      </c>
      <c r="IT1" s="86" t="s">
        <v>656</v>
      </c>
      <c r="IU1" s="86" t="s">
        <v>657</v>
      </c>
      <c r="IV1" s="86" t="s">
        <v>658</v>
      </c>
      <c r="IW1" s="90" t="s">
        <v>238</v>
      </c>
      <c r="IX1" s="136" t="s">
        <v>245</v>
      </c>
      <c r="IY1" s="136" t="s">
        <v>247</v>
      </c>
      <c r="IZ1" s="136" t="s">
        <v>249</v>
      </c>
      <c r="JA1" s="137" t="s">
        <v>251</v>
      </c>
      <c r="JB1" s="86" t="s">
        <v>504</v>
      </c>
      <c r="JC1" s="86" t="s">
        <v>505</v>
      </c>
      <c r="JD1" s="86" t="s">
        <v>506</v>
      </c>
      <c r="JE1" s="86" t="s">
        <v>507</v>
      </c>
      <c r="JF1" s="86" t="s">
        <v>509</v>
      </c>
      <c r="JG1" s="86" t="s">
        <v>510</v>
      </c>
      <c r="JH1" s="86" t="s">
        <v>512</v>
      </c>
      <c r="JI1" s="86" t="s">
        <v>514</v>
      </c>
      <c r="JJ1" s="86" t="s">
        <v>516</v>
      </c>
      <c r="JK1" s="90" t="s">
        <v>591</v>
      </c>
    </row>
    <row r="2" spans="1:271" s="201" customFormat="1" x14ac:dyDescent="0.35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416</v>
      </c>
      <c r="CY2" s="198" t="s">
        <v>0</v>
      </c>
      <c r="CZ2" s="200" t="s">
        <v>798</v>
      </c>
      <c r="DA2" s="200" t="s">
        <v>956</v>
      </c>
      <c r="DB2" s="198" t="s">
        <v>94</v>
      </c>
      <c r="DC2" s="198" t="s">
        <v>891</v>
      </c>
      <c r="DD2" s="198" t="s">
        <v>101</v>
      </c>
      <c r="DE2" s="198" t="s">
        <v>102</v>
      </c>
      <c r="DF2" s="198" t="s">
        <v>907</v>
      </c>
      <c r="DG2" s="198">
        <v>2</v>
      </c>
      <c r="DH2" s="198">
        <v>11</v>
      </c>
      <c r="DI2" s="198" t="s">
        <v>893</v>
      </c>
      <c r="DJ2" s="198" t="s">
        <v>890</v>
      </c>
      <c r="DK2" s="198">
        <v>15142</v>
      </c>
      <c r="DL2" s="198">
        <v>813511311</v>
      </c>
      <c r="DM2" s="198" t="s">
        <v>103</v>
      </c>
      <c r="DN2" s="198">
        <v>2000</v>
      </c>
      <c r="DO2" s="198" t="s">
        <v>104</v>
      </c>
      <c r="DP2" s="198">
        <v>10000000</v>
      </c>
      <c r="DQ2" s="198" t="s">
        <v>891</v>
      </c>
      <c r="DR2" s="198">
        <v>5</v>
      </c>
      <c r="DS2" s="198">
        <v>2</v>
      </c>
      <c r="DT2" s="198" t="s">
        <v>895</v>
      </c>
      <c r="DU2" s="198">
        <v>30000000</v>
      </c>
      <c r="DV2" s="198" t="s">
        <v>971</v>
      </c>
      <c r="DW2" s="198" t="s">
        <v>973</v>
      </c>
      <c r="DX2" s="198">
        <v>2003</v>
      </c>
      <c r="DY2" s="198" t="s">
        <v>976</v>
      </c>
      <c r="DZ2" s="198" t="s">
        <v>978</v>
      </c>
      <c r="EA2" s="198">
        <v>15417</v>
      </c>
      <c r="EB2" s="198">
        <v>8385739248</v>
      </c>
      <c r="EC2" s="198" t="s">
        <v>105</v>
      </c>
      <c r="ED2" s="198" t="s">
        <v>109</v>
      </c>
      <c r="EE2" s="198" t="s">
        <v>132</v>
      </c>
      <c r="EF2" s="198">
        <v>1111222201</v>
      </c>
      <c r="EG2" s="198" t="str">
        <f>C2</f>
        <v>APPROVE</v>
      </c>
      <c r="EH2" s="198" t="s">
        <v>114</v>
      </c>
      <c r="EI2" s="198" t="s">
        <v>79</v>
      </c>
      <c r="EJ2" s="198">
        <v>1111222202</v>
      </c>
      <c r="EK2" s="198" t="str">
        <f t="shared" ref="EK2:EK10" si="0">EG2</f>
        <v>APPROVE</v>
      </c>
      <c r="EL2" s="200" t="s">
        <v>672</v>
      </c>
      <c r="EM2" s="198" t="s">
        <v>179</v>
      </c>
      <c r="EN2" s="198">
        <v>100000000</v>
      </c>
      <c r="EO2" s="198">
        <v>100000000</v>
      </c>
      <c r="EP2" s="198">
        <v>100000000</v>
      </c>
      <c r="EQ2" s="198" t="s">
        <v>896</v>
      </c>
      <c r="ER2" s="198">
        <v>413</v>
      </c>
      <c r="ES2" s="198">
        <v>1239</v>
      </c>
      <c r="ET2" s="192" t="s">
        <v>133</v>
      </c>
      <c r="EU2" s="198" t="s">
        <v>846</v>
      </c>
      <c r="EV2" s="198" t="s">
        <v>800</v>
      </c>
      <c r="EW2" s="198" t="str">
        <f t="shared" ref="EW2:EW10" si="1">EK2</f>
        <v>APPROVE</v>
      </c>
      <c r="EX2" s="216" t="s">
        <v>969</v>
      </c>
      <c r="EY2" s="198" t="s">
        <v>83</v>
      </c>
      <c r="EZ2" s="198">
        <v>10</v>
      </c>
      <c r="FA2" s="198">
        <v>1</v>
      </c>
      <c r="FB2" s="198">
        <v>10000000</v>
      </c>
      <c r="FC2" s="200" t="s">
        <v>685</v>
      </c>
      <c r="FD2" s="192">
        <v>1122335</v>
      </c>
      <c r="FE2" s="233">
        <v>987</v>
      </c>
      <c r="FF2" s="233">
        <v>21231434</v>
      </c>
      <c r="FG2" s="233" t="s">
        <v>909</v>
      </c>
      <c r="FH2" s="233" t="s">
        <v>915</v>
      </c>
      <c r="FI2" s="235">
        <v>10</v>
      </c>
      <c r="FJ2" s="235" t="s">
        <v>920</v>
      </c>
      <c r="FK2" s="235">
        <v>1</v>
      </c>
      <c r="FL2" s="233" t="s">
        <v>926</v>
      </c>
      <c r="FM2" s="233" t="s">
        <v>966</v>
      </c>
      <c r="FN2" s="233" t="s">
        <v>967</v>
      </c>
      <c r="FO2" s="233" t="s">
        <v>937</v>
      </c>
      <c r="FP2" s="233" t="s">
        <v>941</v>
      </c>
      <c r="FQ2" s="233" t="s">
        <v>944</v>
      </c>
      <c r="FR2" s="198" t="s">
        <v>748</v>
      </c>
      <c r="FS2" s="198" t="s">
        <v>171</v>
      </c>
      <c r="FT2" s="198" t="s">
        <v>172</v>
      </c>
      <c r="FU2" s="198">
        <v>735947227</v>
      </c>
      <c r="FV2" s="198" t="s">
        <v>173</v>
      </c>
      <c r="FW2" s="198">
        <v>59185</v>
      </c>
      <c r="FX2" s="198" t="s">
        <v>174</v>
      </c>
      <c r="FY2" s="198" t="s">
        <v>175</v>
      </c>
      <c r="FZ2" s="198" t="s">
        <v>176</v>
      </c>
      <c r="GA2" s="198" t="s">
        <v>177</v>
      </c>
      <c r="GB2" s="198" t="s">
        <v>26</v>
      </c>
      <c r="GC2" s="198" t="s">
        <v>179</v>
      </c>
      <c r="GD2" s="198" t="s">
        <v>180</v>
      </c>
      <c r="GE2" s="198">
        <v>12430</v>
      </c>
      <c r="GF2" s="198" t="s">
        <v>182</v>
      </c>
      <c r="GG2" s="198" t="s">
        <v>178</v>
      </c>
      <c r="GH2" s="198" t="s">
        <v>90</v>
      </c>
      <c r="GI2" s="198" t="s">
        <v>90</v>
      </c>
      <c r="GJ2" s="198" t="s">
        <v>98</v>
      </c>
      <c r="GK2" s="198" t="s">
        <v>257</v>
      </c>
      <c r="GL2" s="200" t="s">
        <v>258</v>
      </c>
      <c r="GM2" s="200" t="s">
        <v>589</v>
      </c>
      <c r="GN2" s="200" t="s">
        <v>175</v>
      </c>
      <c r="GO2" s="192" t="s">
        <v>181</v>
      </c>
      <c r="GP2" s="198" t="s">
        <v>899</v>
      </c>
      <c r="GQ2" s="198" t="s">
        <v>900</v>
      </c>
      <c r="GR2" s="198">
        <v>5238528</v>
      </c>
      <c r="GS2" s="198" t="s">
        <v>185</v>
      </c>
      <c r="GT2" s="198" t="s">
        <v>749</v>
      </c>
      <c r="GU2" s="198" t="s">
        <v>903</v>
      </c>
      <c r="GV2" s="198" t="s">
        <v>904</v>
      </c>
      <c r="GW2" s="198" t="s">
        <v>905</v>
      </c>
      <c r="GX2" s="198" t="s">
        <v>393</v>
      </c>
      <c r="GY2" s="198" t="s">
        <v>901</v>
      </c>
      <c r="GZ2" s="198" t="s">
        <v>149</v>
      </c>
      <c r="HA2" s="198">
        <v>2023</v>
      </c>
      <c r="HB2" s="198" t="s">
        <v>202</v>
      </c>
      <c r="HC2" s="198" t="s">
        <v>203</v>
      </c>
      <c r="HD2" s="198" t="s">
        <v>175</v>
      </c>
      <c r="HE2" s="198" t="s">
        <v>204</v>
      </c>
      <c r="HF2" s="192" t="s">
        <v>902</v>
      </c>
      <c r="HG2" s="198" t="s">
        <v>907</v>
      </c>
      <c r="HH2" s="198" t="s">
        <v>953</v>
      </c>
      <c r="HI2" s="198" t="s">
        <v>954</v>
      </c>
      <c r="HJ2" s="198">
        <v>5000000</v>
      </c>
      <c r="HK2" s="198" t="s">
        <v>318</v>
      </c>
      <c r="HL2" s="198" t="s">
        <v>237</v>
      </c>
      <c r="HM2" s="198">
        <v>0</v>
      </c>
      <c r="HN2" s="198">
        <v>0</v>
      </c>
      <c r="HO2" s="198" t="s">
        <v>615</v>
      </c>
      <c r="HP2" s="198" t="s">
        <v>791</v>
      </c>
      <c r="HQ2" s="198" t="s">
        <v>981</v>
      </c>
      <c r="HR2" s="198" t="s">
        <v>613</v>
      </c>
      <c r="HS2" s="198" t="s">
        <v>614</v>
      </c>
      <c r="HT2" s="198" t="s">
        <v>805</v>
      </c>
      <c r="HU2" s="198">
        <v>250000000</v>
      </c>
      <c r="HV2" s="198">
        <v>10</v>
      </c>
      <c r="HW2" s="198"/>
      <c r="HX2" s="198">
        <v>24</v>
      </c>
      <c r="HY2" s="200" t="s">
        <v>806</v>
      </c>
      <c r="HZ2" s="200" t="s">
        <v>807</v>
      </c>
      <c r="IA2" s="198">
        <v>1000000</v>
      </c>
      <c r="IB2" s="198">
        <v>750000</v>
      </c>
      <c r="IC2" s="198" t="s">
        <v>391</v>
      </c>
      <c r="ID2" s="198" t="s">
        <v>233</v>
      </c>
      <c r="IE2" s="198" t="s">
        <v>233</v>
      </c>
      <c r="IF2" s="198" t="s">
        <v>957</v>
      </c>
      <c r="IG2" s="198" t="s">
        <v>318</v>
      </c>
      <c r="IH2" s="198" t="s">
        <v>597</v>
      </c>
      <c r="II2" s="198"/>
      <c r="IK2" s="198" t="s">
        <v>233</v>
      </c>
      <c r="IL2" s="198" t="s">
        <v>956</v>
      </c>
      <c r="IM2" s="195" t="s">
        <v>962</v>
      </c>
      <c r="IN2" s="195" t="s">
        <v>963</v>
      </c>
      <c r="IO2" s="198" t="s">
        <v>241</v>
      </c>
      <c r="IP2" s="198" t="s">
        <v>790</v>
      </c>
      <c r="IQ2" s="198">
        <v>24</v>
      </c>
      <c r="IR2" s="198" t="s">
        <v>243</v>
      </c>
      <c r="IS2" s="198" t="s">
        <v>233</v>
      </c>
      <c r="IT2" s="198" t="s">
        <v>244</v>
      </c>
      <c r="IU2" s="198" t="s">
        <v>233</v>
      </c>
      <c r="IV2" s="198" t="s">
        <v>237</v>
      </c>
      <c r="IW2" s="192" t="s">
        <v>233</v>
      </c>
      <c r="IX2" s="198" t="s">
        <v>850</v>
      </c>
      <c r="IY2" s="198" t="s">
        <v>248</v>
      </c>
      <c r="IZ2" s="198" t="s">
        <v>250</v>
      </c>
      <c r="JA2" s="192" t="s">
        <v>250</v>
      </c>
      <c r="JB2" s="198">
        <v>120100</v>
      </c>
      <c r="JC2" s="198" t="s">
        <v>501</v>
      </c>
      <c r="JD2" s="198">
        <v>12430</v>
      </c>
      <c r="JE2" s="198" t="s">
        <v>508</v>
      </c>
      <c r="JF2" s="198" t="s">
        <v>519</v>
      </c>
      <c r="JG2" s="198" t="s">
        <v>511</v>
      </c>
      <c r="JH2" s="198" t="s">
        <v>513</v>
      </c>
      <c r="JI2" s="198" t="s">
        <v>515</v>
      </c>
      <c r="JJ2" s="198" t="s">
        <v>517</v>
      </c>
      <c r="JK2" s="192" t="s">
        <v>105</v>
      </c>
    </row>
    <row r="3" spans="1:271" s="201" customFormat="1" x14ac:dyDescent="0.35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82</v>
      </c>
      <c r="CY3" s="198" t="s">
        <v>0</v>
      </c>
      <c r="CZ3" s="200" t="s">
        <v>798</v>
      </c>
      <c r="DA3" s="200"/>
      <c r="DB3" s="198" t="s">
        <v>94</v>
      </c>
      <c r="DC3" s="198" t="s">
        <v>98</v>
      </c>
      <c r="DD3" s="198" t="s">
        <v>101</v>
      </c>
      <c r="DE3" s="198" t="s">
        <v>102</v>
      </c>
      <c r="DF3" s="198"/>
      <c r="DG3" s="198"/>
      <c r="DH3" s="198"/>
      <c r="DI3" s="198"/>
      <c r="DJ3" s="198"/>
      <c r="DK3" s="198"/>
      <c r="DL3" s="198"/>
      <c r="DM3" s="198" t="s">
        <v>103</v>
      </c>
      <c r="DN3" s="198">
        <v>2000</v>
      </c>
      <c r="DO3" s="198" t="s">
        <v>104</v>
      </c>
      <c r="DP3" s="198">
        <v>10000000</v>
      </c>
      <c r="DQ3" s="198" t="s">
        <v>98</v>
      </c>
      <c r="DR3" s="198"/>
      <c r="DS3" s="198"/>
      <c r="DT3" s="198"/>
      <c r="DU3" s="198">
        <v>30000000</v>
      </c>
      <c r="DV3" s="198"/>
      <c r="DW3" s="198"/>
      <c r="DX3" s="198"/>
      <c r="DY3" s="198"/>
      <c r="DZ3" s="198"/>
      <c r="EA3" s="198"/>
      <c r="EB3" s="198"/>
      <c r="EC3" s="198" t="s">
        <v>105</v>
      </c>
      <c r="ED3" s="198" t="s">
        <v>109</v>
      </c>
      <c r="EE3" s="198" t="s">
        <v>132</v>
      </c>
      <c r="EF3" s="198">
        <v>1111222201</v>
      </c>
      <c r="EG3" s="198" t="str">
        <f>C3</f>
        <v>BUDI</v>
      </c>
      <c r="EH3" s="198" t="s">
        <v>114</v>
      </c>
      <c r="EI3" s="198" t="s">
        <v>79</v>
      </c>
      <c r="EJ3" s="198">
        <v>1111222299</v>
      </c>
      <c r="EK3" s="198" t="str">
        <f t="shared" si="0"/>
        <v>BUDI</v>
      </c>
      <c r="EL3" s="200" t="s">
        <v>779</v>
      </c>
      <c r="EM3" s="198" t="s">
        <v>179</v>
      </c>
      <c r="EN3" s="198"/>
      <c r="EO3" s="198"/>
      <c r="EP3" s="198"/>
      <c r="EQ3" s="198" t="s">
        <v>501</v>
      </c>
      <c r="ER3" s="198"/>
      <c r="ES3" s="198"/>
      <c r="ET3" s="192" t="s">
        <v>133</v>
      </c>
      <c r="EU3" s="198" t="s">
        <v>849</v>
      </c>
      <c r="EV3" s="198" t="s">
        <v>800</v>
      </c>
      <c r="EW3" s="198" t="str">
        <f t="shared" si="1"/>
        <v>BUDI</v>
      </c>
      <c r="EX3" s="198"/>
      <c r="EY3" s="198" t="s">
        <v>83</v>
      </c>
      <c r="EZ3" s="198">
        <v>10</v>
      </c>
      <c r="FA3" s="198">
        <v>1</v>
      </c>
      <c r="FB3" s="198">
        <v>10000000</v>
      </c>
      <c r="FC3" s="200" t="s">
        <v>685</v>
      </c>
      <c r="FD3" s="192">
        <v>1122335</v>
      </c>
      <c r="FE3" s="233"/>
      <c r="FF3" s="233"/>
      <c r="FG3" s="233" t="s">
        <v>910</v>
      </c>
      <c r="FH3" s="233" t="s">
        <v>916</v>
      </c>
      <c r="FI3" s="235">
        <v>9</v>
      </c>
      <c r="FJ3" s="235" t="s">
        <v>389</v>
      </c>
      <c r="FK3" s="235">
        <v>2</v>
      </c>
      <c r="FL3" s="233" t="s">
        <v>934</v>
      </c>
      <c r="FM3" s="233"/>
      <c r="FN3" s="233"/>
      <c r="FO3" s="233" t="s">
        <v>938</v>
      </c>
      <c r="FP3" s="233" t="s">
        <v>942</v>
      </c>
      <c r="FQ3" s="233" t="s">
        <v>945</v>
      </c>
      <c r="FR3" s="198" t="s">
        <v>748</v>
      </c>
      <c r="FS3" s="198" t="s">
        <v>171</v>
      </c>
      <c r="FT3" s="198" t="s">
        <v>172</v>
      </c>
      <c r="FU3" s="198">
        <v>735947227</v>
      </c>
      <c r="FV3" s="198" t="s">
        <v>173</v>
      </c>
      <c r="FW3" s="198">
        <v>59185</v>
      </c>
      <c r="FX3" s="198" t="s">
        <v>174</v>
      </c>
      <c r="FY3" s="198" t="s">
        <v>175</v>
      </c>
      <c r="FZ3" s="198" t="s">
        <v>176</v>
      </c>
      <c r="GA3" s="198" t="s">
        <v>177</v>
      </c>
      <c r="GB3" s="198" t="s">
        <v>26</v>
      </c>
      <c r="GC3" s="198" t="s">
        <v>179</v>
      </c>
      <c r="GD3" s="198" t="s">
        <v>180</v>
      </c>
      <c r="GE3" s="198">
        <v>12430</v>
      </c>
      <c r="GF3" s="198" t="s">
        <v>182</v>
      </c>
      <c r="GG3" s="198" t="s">
        <v>178</v>
      </c>
      <c r="GH3" s="198" t="s">
        <v>90</v>
      </c>
      <c r="GI3" s="198" t="s">
        <v>90</v>
      </c>
      <c r="GJ3" s="198" t="s">
        <v>98</v>
      </c>
      <c r="GK3" s="198" t="s">
        <v>257</v>
      </c>
      <c r="GL3" s="200" t="s">
        <v>258</v>
      </c>
      <c r="GM3" s="200" t="s">
        <v>589</v>
      </c>
      <c r="GN3" s="200" t="s">
        <v>175</v>
      </c>
      <c r="GO3" s="192" t="s">
        <v>181</v>
      </c>
      <c r="GP3" s="198" t="s">
        <v>866</v>
      </c>
      <c r="GQ3" s="198"/>
      <c r="GR3" s="198">
        <v>5238528</v>
      </c>
      <c r="GS3" s="198" t="s">
        <v>185</v>
      </c>
      <c r="GT3" s="198" t="s">
        <v>749</v>
      </c>
      <c r="GU3" s="198" t="s">
        <v>200</v>
      </c>
      <c r="GV3" s="198" t="s">
        <v>201</v>
      </c>
      <c r="GW3" s="198" t="s">
        <v>201</v>
      </c>
      <c r="GX3" s="198" t="s">
        <v>393</v>
      </c>
      <c r="GY3" s="198"/>
      <c r="GZ3" s="198" t="s">
        <v>149</v>
      </c>
      <c r="HA3" s="198">
        <v>2023</v>
      </c>
      <c r="HB3" s="198" t="s">
        <v>202</v>
      </c>
      <c r="HC3" s="198" t="s">
        <v>203</v>
      </c>
      <c r="HD3" s="198" t="s">
        <v>175</v>
      </c>
      <c r="HE3" s="198" t="s">
        <v>204</v>
      </c>
      <c r="HF3" s="192" t="s">
        <v>179</v>
      </c>
      <c r="HG3" s="198" t="s">
        <v>907</v>
      </c>
      <c r="HH3" s="198" t="s">
        <v>953</v>
      </c>
      <c r="HI3" s="198">
        <v>7892</v>
      </c>
      <c r="HJ3" s="198">
        <v>5000000</v>
      </c>
      <c r="HK3" s="198" t="s">
        <v>318</v>
      </c>
      <c r="HL3" s="198" t="s">
        <v>237</v>
      </c>
      <c r="HM3" s="198">
        <v>15</v>
      </c>
      <c r="HN3" s="198">
        <v>0</v>
      </c>
      <c r="HO3" s="198" t="s">
        <v>615</v>
      </c>
      <c r="HP3" s="198" t="s">
        <v>791</v>
      </c>
      <c r="HQ3" s="198" t="s">
        <v>750</v>
      </c>
      <c r="HR3" s="198" t="s">
        <v>613</v>
      </c>
      <c r="HS3" s="198" t="s">
        <v>614</v>
      </c>
      <c r="HT3" s="198" t="s">
        <v>805</v>
      </c>
      <c r="HU3" s="198">
        <v>250000000</v>
      </c>
      <c r="HV3" s="198">
        <v>10</v>
      </c>
      <c r="HW3" s="198"/>
      <c r="HX3" s="198">
        <v>24</v>
      </c>
      <c r="HY3" s="200" t="s">
        <v>806</v>
      </c>
      <c r="HZ3" s="200" t="s">
        <v>807</v>
      </c>
      <c r="IA3" s="198">
        <v>1000000</v>
      </c>
      <c r="IB3" s="198">
        <v>750000</v>
      </c>
      <c r="IC3" s="198" t="s">
        <v>391</v>
      </c>
      <c r="ID3" s="198" t="s">
        <v>233</v>
      </c>
      <c r="IE3" s="198" t="s">
        <v>233</v>
      </c>
      <c r="IF3" s="198"/>
      <c r="IG3" s="198" t="s">
        <v>318</v>
      </c>
      <c r="IH3" s="198" t="s">
        <v>597</v>
      </c>
      <c r="II3" s="198"/>
      <c r="IK3" s="198" t="s">
        <v>233</v>
      </c>
      <c r="IL3" s="198"/>
      <c r="IM3" s="240"/>
      <c r="IN3" s="240"/>
      <c r="IO3" s="198" t="s">
        <v>241</v>
      </c>
      <c r="IP3" s="198" t="s">
        <v>790</v>
      </c>
      <c r="IQ3" s="198">
        <v>24</v>
      </c>
      <c r="IR3" s="198" t="s">
        <v>243</v>
      </c>
      <c r="IS3" s="198" t="s">
        <v>233</v>
      </c>
      <c r="IT3" s="198" t="s">
        <v>244</v>
      </c>
      <c r="IU3" s="198" t="s">
        <v>233</v>
      </c>
      <c r="IV3" s="198" t="s">
        <v>237</v>
      </c>
      <c r="IW3" s="192" t="s">
        <v>233</v>
      </c>
      <c r="IX3" s="198" t="s">
        <v>850</v>
      </c>
      <c r="IY3" s="198" t="s">
        <v>248</v>
      </c>
      <c r="IZ3" s="198" t="s">
        <v>250</v>
      </c>
      <c r="JA3" s="192" t="s">
        <v>250</v>
      </c>
      <c r="JB3" s="198">
        <v>120100</v>
      </c>
      <c r="JC3" s="198" t="s">
        <v>501</v>
      </c>
      <c r="JD3" s="198">
        <v>12430</v>
      </c>
      <c r="JE3" s="198" t="s">
        <v>508</v>
      </c>
      <c r="JF3" s="198" t="s">
        <v>519</v>
      </c>
      <c r="JG3" s="198" t="s">
        <v>511</v>
      </c>
      <c r="JH3" s="198" t="s">
        <v>513</v>
      </c>
      <c r="JI3" s="198" t="s">
        <v>515</v>
      </c>
      <c r="JJ3" s="198" t="s">
        <v>517</v>
      </c>
      <c r="JK3" s="192" t="s">
        <v>105</v>
      </c>
    </row>
    <row r="4" spans="1:271" s="201" customFormat="1" x14ac:dyDescent="0.35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200"/>
      <c r="DB4" s="198" t="s">
        <v>94</v>
      </c>
      <c r="DC4" s="198" t="s">
        <v>98</v>
      </c>
      <c r="DD4" s="198" t="s">
        <v>101</v>
      </c>
      <c r="DE4" s="198" t="s">
        <v>102</v>
      </c>
      <c r="DF4" s="198"/>
      <c r="DG4" s="198"/>
      <c r="DH4" s="198"/>
      <c r="DI4" s="198"/>
      <c r="DJ4" s="198"/>
      <c r="DK4" s="198"/>
      <c r="DL4" s="198"/>
      <c r="DM4" s="198" t="s">
        <v>103</v>
      </c>
      <c r="DN4" s="198">
        <v>2000</v>
      </c>
      <c r="DO4" s="198" t="s">
        <v>104</v>
      </c>
      <c r="DP4" s="198">
        <v>10000000</v>
      </c>
      <c r="DQ4" s="198" t="s">
        <v>98</v>
      </c>
      <c r="DR4" s="198"/>
      <c r="DS4" s="198"/>
      <c r="DT4" s="198"/>
      <c r="DU4" s="198">
        <v>30000000</v>
      </c>
      <c r="DV4" s="198"/>
      <c r="DW4" s="198"/>
      <c r="DX4" s="198"/>
      <c r="DY4" s="198"/>
      <c r="DZ4" s="198"/>
      <c r="EA4" s="198"/>
      <c r="EB4" s="198"/>
      <c r="EC4" s="198" t="s">
        <v>105</v>
      </c>
      <c r="ED4" s="198" t="s">
        <v>109</v>
      </c>
      <c r="EE4" s="198" t="s">
        <v>132</v>
      </c>
      <c r="EF4" s="198">
        <v>1111222204</v>
      </c>
      <c r="EG4" s="198" t="str">
        <f>C4</f>
        <v>REJECT</v>
      </c>
      <c r="EH4" s="198" t="s">
        <v>114</v>
      </c>
      <c r="EI4" s="198" t="s">
        <v>79</v>
      </c>
      <c r="EJ4" s="198">
        <v>1111222203</v>
      </c>
      <c r="EK4" s="198" t="str">
        <f t="shared" ref="EK4" si="2">EG4</f>
        <v>REJECT</v>
      </c>
      <c r="EL4" s="200" t="s">
        <v>673</v>
      </c>
      <c r="EM4" s="198" t="s">
        <v>179</v>
      </c>
      <c r="EN4" s="198"/>
      <c r="EO4" s="198"/>
      <c r="EP4" s="198"/>
      <c r="EQ4" s="198" t="s">
        <v>501</v>
      </c>
      <c r="ER4" s="198"/>
      <c r="ES4" s="198"/>
      <c r="ET4" s="192" t="s">
        <v>133</v>
      </c>
      <c r="EU4" s="198" t="s">
        <v>852</v>
      </c>
      <c r="EV4" s="198" t="s">
        <v>800</v>
      </c>
      <c r="EW4" s="198" t="str">
        <f t="shared" ref="EW4" si="3">EK4</f>
        <v>REJECT</v>
      </c>
      <c r="EX4" s="198"/>
      <c r="EY4" s="198" t="s">
        <v>83</v>
      </c>
      <c r="EZ4" s="198">
        <v>10</v>
      </c>
      <c r="FA4" s="198">
        <v>1</v>
      </c>
      <c r="FB4" s="198">
        <v>10000000</v>
      </c>
      <c r="FC4" s="200" t="s">
        <v>685</v>
      </c>
      <c r="FD4" s="192">
        <v>1122334</v>
      </c>
      <c r="FE4" s="233"/>
      <c r="FF4" s="233"/>
      <c r="FG4" s="233" t="s">
        <v>911</v>
      </c>
      <c r="FH4" s="233" t="s">
        <v>917</v>
      </c>
      <c r="FI4" s="235">
        <v>8</v>
      </c>
      <c r="FJ4" s="235" t="s">
        <v>921</v>
      </c>
      <c r="FK4" s="235">
        <v>1</v>
      </c>
      <c r="FL4" s="233" t="s">
        <v>928</v>
      </c>
      <c r="FM4" s="233"/>
      <c r="FN4" s="233"/>
      <c r="FO4" s="233" t="s">
        <v>939</v>
      </c>
      <c r="FP4" s="233"/>
      <c r="FQ4" s="233" t="s">
        <v>946</v>
      </c>
      <c r="FR4" s="198" t="s">
        <v>748</v>
      </c>
      <c r="FS4" s="198" t="s">
        <v>171</v>
      </c>
      <c r="FT4" s="198" t="s">
        <v>172</v>
      </c>
      <c r="FU4" s="198">
        <v>735947227</v>
      </c>
      <c r="FV4" s="198" t="s">
        <v>173</v>
      </c>
      <c r="FW4" s="198">
        <v>59185</v>
      </c>
      <c r="FX4" s="198" t="s">
        <v>174</v>
      </c>
      <c r="FY4" s="198" t="s">
        <v>175</v>
      </c>
      <c r="FZ4" s="198" t="s">
        <v>176</v>
      </c>
      <c r="GA4" s="198" t="s">
        <v>177</v>
      </c>
      <c r="GB4" s="198" t="s">
        <v>26</v>
      </c>
      <c r="GC4" s="198" t="s">
        <v>179</v>
      </c>
      <c r="GD4" s="198" t="s">
        <v>180</v>
      </c>
      <c r="GE4" s="198">
        <v>12430</v>
      </c>
      <c r="GF4" s="198" t="s">
        <v>182</v>
      </c>
      <c r="GG4" s="198" t="s">
        <v>178</v>
      </c>
      <c r="GH4" s="198" t="s">
        <v>90</v>
      </c>
      <c r="GI4" s="198" t="s">
        <v>90</v>
      </c>
      <c r="GJ4" s="198" t="s">
        <v>98</v>
      </c>
      <c r="GK4" s="198" t="s">
        <v>257</v>
      </c>
      <c r="GL4" s="200" t="s">
        <v>258</v>
      </c>
      <c r="GM4" s="200" t="s">
        <v>589</v>
      </c>
      <c r="GN4" s="200" t="s">
        <v>175</v>
      </c>
      <c r="GO4" s="192" t="s">
        <v>181</v>
      </c>
      <c r="GP4" s="198" t="s">
        <v>866</v>
      </c>
      <c r="GQ4" s="198"/>
      <c r="GR4" s="198">
        <v>5238528</v>
      </c>
      <c r="GS4" s="198" t="s">
        <v>185</v>
      </c>
      <c r="GT4" s="198" t="s">
        <v>749</v>
      </c>
      <c r="GU4" s="198" t="s">
        <v>200</v>
      </c>
      <c r="GV4" s="198" t="s">
        <v>201</v>
      </c>
      <c r="GW4" s="198" t="s">
        <v>201</v>
      </c>
      <c r="GX4" s="198" t="s">
        <v>393</v>
      </c>
      <c r="GY4" s="198"/>
      <c r="GZ4" s="198" t="s">
        <v>149</v>
      </c>
      <c r="HA4" s="198">
        <v>2023</v>
      </c>
      <c r="HB4" s="198" t="s">
        <v>202</v>
      </c>
      <c r="HC4" s="198" t="s">
        <v>203</v>
      </c>
      <c r="HD4" s="198" t="s">
        <v>175</v>
      </c>
      <c r="HE4" s="198" t="s">
        <v>204</v>
      </c>
      <c r="HF4" s="192" t="s">
        <v>179</v>
      </c>
      <c r="HG4" s="198" t="s">
        <v>907</v>
      </c>
      <c r="HH4" s="198" t="s">
        <v>953</v>
      </c>
      <c r="HI4" s="198" t="s">
        <v>955</v>
      </c>
      <c r="HJ4" s="198">
        <v>5000000</v>
      </c>
      <c r="HK4" s="198" t="s">
        <v>318</v>
      </c>
      <c r="HL4" s="198" t="s">
        <v>237</v>
      </c>
      <c r="HM4" s="198">
        <v>15</v>
      </c>
      <c r="HN4" s="198">
        <v>0</v>
      </c>
      <c r="HO4" s="198" t="s">
        <v>615</v>
      </c>
      <c r="HP4" s="198" t="s">
        <v>791</v>
      </c>
      <c r="HQ4" s="198" t="s">
        <v>750</v>
      </c>
      <c r="HR4" s="198" t="s">
        <v>613</v>
      </c>
      <c r="HS4" s="198" t="s">
        <v>614</v>
      </c>
      <c r="HT4" s="198" t="s">
        <v>805</v>
      </c>
      <c r="HU4" s="198">
        <v>250000000</v>
      </c>
      <c r="HV4" s="198">
        <v>10</v>
      </c>
      <c r="HW4" s="198"/>
      <c r="HX4" s="198">
        <v>24</v>
      </c>
      <c r="HY4" s="200" t="s">
        <v>806</v>
      </c>
      <c r="HZ4" s="200" t="s">
        <v>807</v>
      </c>
      <c r="IA4" s="198">
        <v>1000000</v>
      </c>
      <c r="IB4" s="198">
        <v>750000</v>
      </c>
      <c r="IC4" s="198" t="s">
        <v>391</v>
      </c>
      <c r="ID4" s="198" t="s">
        <v>233</v>
      </c>
      <c r="IE4" s="198" t="s">
        <v>233</v>
      </c>
      <c r="IF4" s="198"/>
      <c r="IG4" s="198" t="s">
        <v>318</v>
      </c>
      <c r="IH4" s="198" t="s">
        <v>597</v>
      </c>
      <c r="II4" s="198"/>
      <c r="IK4" s="198" t="s">
        <v>233</v>
      </c>
      <c r="IL4" s="198"/>
      <c r="IM4" s="198"/>
      <c r="IN4" s="198"/>
      <c r="IO4" s="198" t="s">
        <v>241</v>
      </c>
      <c r="IP4" s="198" t="s">
        <v>790</v>
      </c>
      <c r="IQ4" s="198">
        <v>24</v>
      </c>
      <c r="IR4" s="198" t="s">
        <v>243</v>
      </c>
      <c r="IS4" s="198" t="s">
        <v>233</v>
      </c>
      <c r="IT4" s="198" t="s">
        <v>244</v>
      </c>
      <c r="IU4" s="198" t="s">
        <v>233</v>
      </c>
      <c r="IV4" s="198" t="s">
        <v>237</v>
      </c>
      <c r="IW4" s="192" t="s">
        <v>233</v>
      </c>
      <c r="IX4" s="198" t="s">
        <v>850</v>
      </c>
      <c r="IY4" s="198" t="s">
        <v>248</v>
      </c>
      <c r="IZ4" s="198" t="s">
        <v>250</v>
      </c>
      <c r="JA4" s="192" t="s">
        <v>250</v>
      </c>
      <c r="JB4" s="198">
        <v>120100</v>
      </c>
      <c r="JC4" s="198" t="s">
        <v>501</v>
      </c>
      <c r="JD4" s="198">
        <v>12430</v>
      </c>
      <c r="JE4" s="198" t="s">
        <v>508</v>
      </c>
      <c r="JF4" s="198" t="s">
        <v>519</v>
      </c>
      <c r="JG4" s="198" t="s">
        <v>511</v>
      </c>
      <c r="JH4" s="198" t="s">
        <v>513</v>
      </c>
      <c r="JI4" s="198" t="s">
        <v>515</v>
      </c>
      <c r="JJ4" s="198" t="s">
        <v>517</v>
      </c>
      <c r="JK4" s="192" t="s">
        <v>105</v>
      </c>
    </row>
    <row r="5" spans="1:271" s="201" customFormat="1" x14ac:dyDescent="0.35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200"/>
      <c r="DB5" s="198" t="s">
        <v>94</v>
      </c>
      <c r="DC5" s="198" t="s">
        <v>98</v>
      </c>
      <c r="DD5" s="198" t="s">
        <v>101</v>
      </c>
      <c r="DE5" s="198" t="s">
        <v>102</v>
      </c>
      <c r="DF5" s="198"/>
      <c r="DG5" s="198"/>
      <c r="DH5" s="198"/>
      <c r="DI5" s="198"/>
      <c r="DJ5" s="198"/>
      <c r="DK5" s="198"/>
      <c r="DL5" s="198"/>
      <c r="DM5" s="198" t="s">
        <v>103</v>
      </c>
      <c r="DN5" s="198">
        <v>2000</v>
      </c>
      <c r="DO5" s="198" t="s">
        <v>104</v>
      </c>
      <c r="DP5" s="198">
        <v>10000000</v>
      </c>
      <c r="DQ5" s="198" t="s">
        <v>98</v>
      </c>
      <c r="DR5" s="198"/>
      <c r="DS5" s="198"/>
      <c r="DT5" s="198"/>
      <c r="DU5" s="198">
        <v>30000000</v>
      </c>
      <c r="DV5" s="198"/>
      <c r="DW5" s="198"/>
      <c r="DX5" s="198"/>
      <c r="DY5" s="198"/>
      <c r="DZ5" s="198"/>
      <c r="EA5" s="198"/>
      <c r="EB5" s="198"/>
      <c r="EC5" s="198" t="s">
        <v>105</v>
      </c>
      <c r="ED5" s="198" t="s">
        <v>109</v>
      </c>
      <c r="EE5" s="198" t="s">
        <v>132</v>
      </c>
      <c r="EF5" s="198">
        <v>1111222205</v>
      </c>
      <c r="EG5" s="198" t="s">
        <v>661</v>
      </c>
      <c r="EH5" s="198" t="s">
        <v>114</v>
      </c>
      <c r="EI5" s="198" t="s">
        <v>78</v>
      </c>
      <c r="EJ5" s="198"/>
      <c r="EK5" s="198"/>
      <c r="EL5" s="200"/>
      <c r="EM5" s="198"/>
      <c r="EN5" s="198"/>
      <c r="EO5" s="198"/>
      <c r="EP5" s="198"/>
      <c r="EQ5" s="198" t="s">
        <v>501</v>
      </c>
      <c r="ER5" s="198"/>
      <c r="ES5" s="198"/>
      <c r="ET5" s="192" t="s">
        <v>133</v>
      </c>
      <c r="EU5" s="198" t="s">
        <v>854</v>
      </c>
      <c r="EV5" s="198" t="s">
        <v>802</v>
      </c>
      <c r="EW5" s="198" t="s">
        <v>243</v>
      </c>
      <c r="EX5" s="198"/>
      <c r="EY5" s="198" t="s">
        <v>83</v>
      </c>
      <c r="EZ5" s="198">
        <v>10</v>
      </c>
      <c r="FA5" s="198">
        <v>1</v>
      </c>
      <c r="FB5" s="198">
        <v>10000000</v>
      </c>
      <c r="FC5" s="200" t="s">
        <v>685</v>
      </c>
      <c r="FD5" s="192">
        <v>1122333</v>
      </c>
      <c r="FE5" s="233"/>
      <c r="FF5" s="233"/>
      <c r="FG5" s="233" t="s">
        <v>912</v>
      </c>
      <c r="FH5" s="233"/>
      <c r="FI5" s="235">
        <v>7</v>
      </c>
      <c r="FJ5" s="235" t="s">
        <v>922</v>
      </c>
      <c r="FK5" s="235">
        <v>2</v>
      </c>
      <c r="FL5" s="233" t="s">
        <v>929</v>
      </c>
      <c r="FM5" s="233"/>
      <c r="FN5" s="233"/>
      <c r="FO5" s="233"/>
      <c r="FP5" s="233"/>
      <c r="FQ5" s="233" t="s">
        <v>947</v>
      </c>
      <c r="FR5" s="198" t="s">
        <v>855</v>
      </c>
      <c r="FS5" s="198" t="s">
        <v>171</v>
      </c>
      <c r="FT5" s="198" t="s">
        <v>172</v>
      </c>
      <c r="FU5" s="198">
        <v>735947227</v>
      </c>
      <c r="FV5" s="198" t="s">
        <v>173</v>
      </c>
      <c r="FW5" s="198">
        <v>59185</v>
      </c>
      <c r="FX5" s="198" t="s">
        <v>174</v>
      </c>
      <c r="FY5" s="198" t="s">
        <v>175</v>
      </c>
      <c r="FZ5" s="198" t="s">
        <v>176</v>
      </c>
      <c r="GA5" s="198" t="s">
        <v>177</v>
      </c>
      <c r="GB5" s="198" t="s">
        <v>26</v>
      </c>
      <c r="GC5" s="198" t="s">
        <v>179</v>
      </c>
      <c r="GD5" s="198" t="s">
        <v>180</v>
      </c>
      <c r="GE5" s="198">
        <v>12430</v>
      </c>
      <c r="GF5" s="198" t="s">
        <v>182</v>
      </c>
      <c r="GG5" s="198" t="s">
        <v>178</v>
      </c>
      <c r="GH5" s="198" t="s">
        <v>90</v>
      </c>
      <c r="GI5" s="198" t="s">
        <v>90</v>
      </c>
      <c r="GJ5" s="198" t="s">
        <v>98</v>
      </c>
      <c r="GK5" s="198" t="s">
        <v>257</v>
      </c>
      <c r="GL5" s="200" t="s">
        <v>258</v>
      </c>
      <c r="GM5" s="200" t="s">
        <v>589</v>
      </c>
      <c r="GN5" s="200" t="s">
        <v>175</v>
      </c>
      <c r="GO5" s="192" t="s">
        <v>181</v>
      </c>
      <c r="GP5" s="198" t="s">
        <v>866</v>
      </c>
      <c r="GQ5" s="198"/>
      <c r="GR5" s="198">
        <v>5238528</v>
      </c>
      <c r="GS5" s="198" t="s">
        <v>185</v>
      </c>
      <c r="GT5" s="198" t="s">
        <v>749</v>
      </c>
      <c r="GU5" s="198" t="s">
        <v>200</v>
      </c>
      <c r="GV5" s="198" t="s">
        <v>201</v>
      </c>
      <c r="GW5" s="198" t="s">
        <v>201</v>
      </c>
      <c r="GX5" s="198" t="s">
        <v>393</v>
      </c>
      <c r="GY5" s="198"/>
      <c r="GZ5" s="198" t="s">
        <v>149</v>
      </c>
      <c r="HA5" s="198">
        <v>2023</v>
      </c>
      <c r="HB5" s="198" t="s">
        <v>202</v>
      </c>
      <c r="HC5" s="198" t="s">
        <v>203</v>
      </c>
      <c r="HD5" s="198" t="s">
        <v>175</v>
      </c>
      <c r="HE5" s="198" t="s">
        <v>204</v>
      </c>
      <c r="HF5" s="192" t="s">
        <v>179</v>
      </c>
      <c r="HG5" s="198" t="s">
        <v>907</v>
      </c>
      <c r="HH5" s="198" t="s">
        <v>953</v>
      </c>
      <c r="HI5" s="198" t="s">
        <v>954</v>
      </c>
      <c r="HJ5" s="198">
        <v>5000000</v>
      </c>
      <c r="HK5" s="198" t="s">
        <v>318</v>
      </c>
      <c r="HL5" s="198" t="s">
        <v>237</v>
      </c>
      <c r="HM5" s="198">
        <v>15</v>
      </c>
      <c r="HN5" s="198">
        <v>0</v>
      </c>
      <c r="HO5" s="198" t="s">
        <v>615</v>
      </c>
      <c r="HP5" s="198" t="s">
        <v>791</v>
      </c>
      <c r="HQ5" s="198" t="s">
        <v>750</v>
      </c>
      <c r="HR5" s="198" t="s">
        <v>613</v>
      </c>
      <c r="HS5" s="198" t="s">
        <v>614</v>
      </c>
      <c r="HT5" s="198" t="s">
        <v>805</v>
      </c>
      <c r="HU5" s="198">
        <v>250000000</v>
      </c>
      <c r="HV5" s="198">
        <v>10</v>
      </c>
      <c r="HW5" s="198"/>
      <c r="HX5" s="198">
        <v>24</v>
      </c>
      <c r="HY5" s="200" t="s">
        <v>806</v>
      </c>
      <c r="HZ5" s="200" t="s">
        <v>807</v>
      </c>
      <c r="IA5" s="198">
        <v>1000000</v>
      </c>
      <c r="IB5" s="198">
        <v>750000</v>
      </c>
      <c r="IC5" s="198" t="s">
        <v>391</v>
      </c>
      <c r="ID5" s="198" t="s">
        <v>233</v>
      </c>
      <c r="IE5" s="198" t="s">
        <v>233</v>
      </c>
      <c r="IF5" s="198"/>
      <c r="IG5" s="198" t="s">
        <v>318</v>
      </c>
      <c r="IH5" s="198" t="s">
        <v>597</v>
      </c>
      <c r="II5" s="198"/>
      <c r="IK5" s="198" t="s">
        <v>233</v>
      </c>
      <c r="IL5" s="198"/>
      <c r="IM5" s="198"/>
      <c r="IN5" s="198"/>
      <c r="IO5" s="198" t="s">
        <v>241</v>
      </c>
      <c r="IP5" s="198" t="s">
        <v>790</v>
      </c>
      <c r="IQ5" s="198">
        <v>24</v>
      </c>
      <c r="IR5" s="198" t="s">
        <v>243</v>
      </c>
      <c r="IS5" s="198" t="s">
        <v>233</v>
      </c>
      <c r="IT5" s="198" t="s">
        <v>244</v>
      </c>
      <c r="IU5" s="198" t="s">
        <v>233</v>
      </c>
      <c r="IV5" s="198" t="s">
        <v>237</v>
      </c>
      <c r="IW5" s="192" t="s">
        <v>233</v>
      </c>
      <c r="IX5" s="198" t="s">
        <v>850</v>
      </c>
      <c r="IY5" s="198" t="s">
        <v>248</v>
      </c>
      <c r="IZ5" s="198" t="s">
        <v>250</v>
      </c>
      <c r="JA5" s="192" t="s">
        <v>250</v>
      </c>
      <c r="JB5" s="198">
        <v>120100</v>
      </c>
      <c r="JC5" s="198" t="s">
        <v>501</v>
      </c>
      <c r="JD5" s="198">
        <v>12430</v>
      </c>
      <c r="JE5" s="198" t="s">
        <v>508</v>
      </c>
      <c r="JF5" s="198" t="s">
        <v>519</v>
      </c>
      <c r="JG5" s="198" t="s">
        <v>511</v>
      </c>
      <c r="JH5" s="198" t="s">
        <v>513</v>
      </c>
      <c r="JI5" s="198" t="s">
        <v>515</v>
      </c>
      <c r="JJ5" s="198" t="s">
        <v>517</v>
      </c>
      <c r="JK5" s="192" t="s">
        <v>105</v>
      </c>
    </row>
    <row r="6" spans="1:271" s="201" customFormat="1" x14ac:dyDescent="0.35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82</v>
      </c>
      <c r="CY6" s="198" t="s">
        <v>0</v>
      </c>
      <c r="CZ6" s="200" t="s">
        <v>798</v>
      </c>
      <c r="DA6" s="200"/>
      <c r="DB6" s="198" t="s">
        <v>94</v>
      </c>
      <c r="DC6" s="198" t="s">
        <v>98</v>
      </c>
      <c r="DD6" s="198" t="s">
        <v>101</v>
      </c>
      <c r="DE6" s="198" t="s">
        <v>102</v>
      </c>
      <c r="DF6" s="198"/>
      <c r="DG6" s="198"/>
      <c r="DH6" s="198"/>
      <c r="DI6" s="198"/>
      <c r="DJ6" s="198"/>
      <c r="DK6" s="198"/>
      <c r="DL6" s="198"/>
      <c r="DM6" s="198" t="s">
        <v>103</v>
      </c>
      <c r="DN6" s="198" t="s">
        <v>675</v>
      </c>
      <c r="DO6" s="198" t="s">
        <v>104</v>
      </c>
      <c r="DP6" s="198" t="s">
        <v>676</v>
      </c>
      <c r="DQ6" s="198" t="s">
        <v>98</v>
      </c>
      <c r="DR6" s="198"/>
      <c r="DS6" s="198"/>
      <c r="DT6" s="198"/>
      <c r="DU6" s="198" t="s">
        <v>677</v>
      </c>
      <c r="DV6" s="198"/>
      <c r="DW6" s="198"/>
      <c r="DX6" s="198"/>
      <c r="DY6" s="198"/>
      <c r="DZ6" s="198"/>
      <c r="EA6" s="198"/>
      <c r="EB6" s="198"/>
      <c r="EC6" s="198" t="s">
        <v>105</v>
      </c>
      <c r="ED6" s="198" t="s">
        <v>109</v>
      </c>
      <c r="EE6" s="198" t="s">
        <v>132</v>
      </c>
      <c r="EF6" s="198">
        <v>6111222299</v>
      </c>
      <c r="EG6" s="198" t="s">
        <v>754</v>
      </c>
      <c r="EH6" s="198" t="s">
        <v>114</v>
      </c>
      <c r="EI6" s="198" t="s">
        <v>79</v>
      </c>
      <c r="EJ6" s="198">
        <v>4211222202</v>
      </c>
      <c r="EK6" s="198" t="s">
        <v>776</v>
      </c>
      <c r="EL6" s="200" t="s">
        <v>778</v>
      </c>
      <c r="EM6" s="198" t="s">
        <v>179</v>
      </c>
      <c r="EN6" s="198"/>
      <c r="EO6" s="198"/>
      <c r="EP6" s="198"/>
      <c r="EQ6" s="198" t="s">
        <v>501</v>
      </c>
      <c r="ER6" s="198"/>
      <c r="ES6" s="198"/>
      <c r="ET6" s="192" t="s">
        <v>133</v>
      </c>
      <c r="EU6" s="198" t="s">
        <v>858</v>
      </c>
      <c r="EV6" s="198" t="s">
        <v>800</v>
      </c>
      <c r="EW6" s="198" t="s">
        <v>783</v>
      </c>
      <c r="EX6" s="198"/>
      <c r="EY6" s="198" t="s">
        <v>83</v>
      </c>
      <c r="EZ6" s="198">
        <v>10</v>
      </c>
      <c r="FA6" s="198">
        <v>1</v>
      </c>
      <c r="FB6" s="198">
        <v>10000000</v>
      </c>
      <c r="FC6" s="200" t="s">
        <v>255</v>
      </c>
      <c r="FD6" s="192">
        <v>1122777</v>
      </c>
      <c r="FE6" s="233"/>
      <c r="FF6" s="233"/>
      <c r="FG6" s="233" t="s">
        <v>913</v>
      </c>
      <c r="FH6" s="233"/>
      <c r="FI6" s="235">
        <v>6</v>
      </c>
      <c r="FJ6" s="235" t="s">
        <v>923</v>
      </c>
      <c r="FK6" s="235">
        <v>1</v>
      </c>
      <c r="FL6" s="233" t="s">
        <v>930</v>
      </c>
      <c r="FM6" s="233"/>
      <c r="FN6" s="233"/>
      <c r="FO6" s="233"/>
      <c r="FP6" s="233"/>
      <c r="FQ6" s="233"/>
      <c r="FR6" s="198" t="s">
        <v>787</v>
      </c>
      <c r="FS6" s="198" t="s">
        <v>171</v>
      </c>
      <c r="FT6" s="198" t="s">
        <v>172</v>
      </c>
      <c r="FU6" s="198">
        <v>735947227</v>
      </c>
      <c r="FV6" s="198" t="s">
        <v>173</v>
      </c>
      <c r="FW6" s="198">
        <v>59185</v>
      </c>
      <c r="FX6" s="198" t="s">
        <v>174</v>
      </c>
      <c r="FY6" s="198" t="s">
        <v>175</v>
      </c>
      <c r="FZ6" s="198" t="s">
        <v>176</v>
      </c>
      <c r="GA6" s="198" t="s">
        <v>177</v>
      </c>
      <c r="GB6" s="198" t="s">
        <v>26</v>
      </c>
      <c r="GC6" s="198" t="s">
        <v>179</v>
      </c>
      <c r="GD6" s="198" t="s">
        <v>180</v>
      </c>
      <c r="GE6" s="198">
        <v>12430</v>
      </c>
      <c r="GF6" s="198" t="s">
        <v>182</v>
      </c>
      <c r="GG6" s="198" t="s">
        <v>178</v>
      </c>
      <c r="GH6" s="198" t="s">
        <v>90</v>
      </c>
      <c r="GI6" s="198" t="s">
        <v>90</v>
      </c>
      <c r="GJ6" s="198" t="s">
        <v>98</v>
      </c>
      <c r="GK6" s="198" t="s">
        <v>257</v>
      </c>
      <c r="GL6" s="200" t="s">
        <v>258</v>
      </c>
      <c r="GM6" s="200" t="s">
        <v>589</v>
      </c>
      <c r="GN6" s="200" t="s">
        <v>175</v>
      </c>
      <c r="GO6" s="192" t="s">
        <v>181</v>
      </c>
      <c r="GP6" s="198" t="s">
        <v>866</v>
      </c>
      <c r="GQ6" s="198"/>
      <c r="GR6" s="198">
        <v>5238528</v>
      </c>
      <c r="GS6" s="198" t="s">
        <v>185</v>
      </c>
      <c r="GT6" s="198" t="s">
        <v>793</v>
      </c>
      <c r="GU6" s="198" t="s">
        <v>200</v>
      </c>
      <c r="GV6" s="198" t="s">
        <v>201</v>
      </c>
      <c r="GW6" s="198" t="s">
        <v>201</v>
      </c>
      <c r="GX6" s="198" t="s">
        <v>393</v>
      </c>
      <c r="GY6" s="198"/>
      <c r="GZ6" s="198" t="s">
        <v>149</v>
      </c>
      <c r="HA6" s="198">
        <v>2023</v>
      </c>
      <c r="HB6" s="198" t="s">
        <v>202</v>
      </c>
      <c r="HC6" s="198" t="s">
        <v>203</v>
      </c>
      <c r="HD6" s="198" t="s">
        <v>175</v>
      </c>
      <c r="HE6" s="198" t="s">
        <v>204</v>
      </c>
      <c r="HF6" s="192" t="s">
        <v>179</v>
      </c>
      <c r="HG6" s="198" t="s">
        <v>907</v>
      </c>
      <c r="HH6" s="198" t="s">
        <v>953</v>
      </c>
      <c r="HI6" s="198">
        <v>7892</v>
      </c>
      <c r="HJ6" s="198">
        <v>5000000</v>
      </c>
      <c r="HK6" s="198" t="s">
        <v>318</v>
      </c>
      <c r="HL6" s="198" t="s">
        <v>237</v>
      </c>
      <c r="HM6" s="198">
        <v>15</v>
      </c>
      <c r="HN6" s="198">
        <v>0</v>
      </c>
      <c r="HO6" s="198" t="s">
        <v>615</v>
      </c>
      <c r="HP6" s="198" t="s">
        <v>791</v>
      </c>
      <c r="HQ6" s="198" t="s">
        <v>792</v>
      </c>
      <c r="HR6" s="198" t="s">
        <v>613</v>
      </c>
      <c r="HS6" s="198" t="s">
        <v>614</v>
      </c>
      <c r="HT6" s="198" t="s">
        <v>805</v>
      </c>
      <c r="HU6" s="198">
        <v>1280000000</v>
      </c>
      <c r="HV6" s="198">
        <v>30</v>
      </c>
      <c r="HW6" s="198"/>
      <c r="HX6" s="198">
        <v>48</v>
      </c>
      <c r="HY6" s="200" t="s">
        <v>806</v>
      </c>
      <c r="HZ6" s="200">
        <v>15</v>
      </c>
      <c r="IA6" s="198">
        <v>1200000</v>
      </c>
      <c r="IB6" s="198">
        <v>750000</v>
      </c>
      <c r="IC6" s="198" t="s">
        <v>391</v>
      </c>
      <c r="ID6" s="198" t="s">
        <v>233</v>
      </c>
      <c r="IE6" s="198" t="s">
        <v>233</v>
      </c>
      <c r="IF6" s="198"/>
      <c r="IG6" s="198" t="s">
        <v>318</v>
      </c>
      <c r="IH6" s="198" t="s">
        <v>597</v>
      </c>
      <c r="II6" s="198"/>
      <c r="IK6" s="198" t="s">
        <v>233</v>
      </c>
      <c r="IL6" s="198"/>
      <c r="IM6" s="198"/>
      <c r="IN6" s="198"/>
      <c r="IO6" s="198" t="s">
        <v>241</v>
      </c>
      <c r="IP6" s="198" t="s">
        <v>790</v>
      </c>
      <c r="IQ6" s="198">
        <v>24</v>
      </c>
      <c r="IR6" s="198" t="s">
        <v>243</v>
      </c>
      <c r="IS6" s="198" t="s">
        <v>233</v>
      </c>
      <c r="IT6" s="198" t="s">
        <v>244</v>
      </c>
      <c r="IU6" s="198" t="s">
        <v>233</v>
      </c>
      <c r="IV6" s="198" t="s">
        <v>237</v>
      </c>
      <c r="IW6" s="192" t="s">
        <v>233</v>
      </c>
      <c r="IX6" s="198" t="s">
        <v>850</v>
      </c>
      <c r="IY6" s="198" t="s">
        <v>248</v>
      </c>
      <c r="IZ6" s="198" t="s">
        <v>250</v>
      </c>
      <c r="JA6" s="192" t="s">
        <v>250</v>
      </c>
      <c r="JB6" s="198">
        <v>120100</v>
      </c>
      <c r="JC6" s="198" t="s">
        <v>501</v>
      </c>
      <c r="JD6" s="198">
        <v>12430</v>
      </c>
      <c r="JE6" s="198" t="s">
        <v>508</v>
      </c>
      <c r="JF6" s="198" t="s">
        <v>519</v>
      </c>
      <c r="JG6" s="198" t="s">
        <v>511</v>
      </c>
      <c r="JH6" s="198" t="s">
        <v>513</v>
      </c>
      <c r="JI6" s="198" t="s">
        <v>515</v>
      </c>
      <c r="JJ6" s="198" t="s">
        <v>517</v>
      </c>
      <c r="JK6" s="192" t="s">
        <v>105</v>
      </c>
    </row>
    <row r="7" spans="1:271" s="201" customFormat="1" x14ac:dyDescent="0.35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200"/>
      <c r="DB7" s="198" t="s">
        <v>94</v>
      </c>
      <c r="DC7" s="198" t="s">
        <v>98</v>
      </c>
      <c r="DD7" s="198" t="s">
        <v>101</v>
      </c>
      <c r="DE7" s="198" t="s">
        <v>102</v>
      </c>
      <c r="DF7" s="198"/>
      <c r="DG7" s="198"/>
      <c r="DH7" s="198"/>
      <c r="DI7" s="198"/>
      <c r="DJ7" s="198"/>
      <c r="DK7" s="198"/>
      <c r="DL7" s="198"/>
      <c r="DM7" s="198" t="s">
        <v>103</v>
      </c>
      <c r="DN7" s="198">
        <v>2000</v>
      </c>
      <c r="DO7" s="198" t="s">
        <v>104</v>
      </c>
      <c r="DP7" s="198">
        <v>10000000</v>
      </c>
      <c r="DQ7" s="198" t="s">
        <v>98</v>
      </c>
      <c r="DR7" s="198"/>
      <c r="DS7" s="198"/>
      <c r="DT7" s="198"/>
      <c r="DU7" s="198">
        <v>30000000</v>
      </c>
      <c r="DV7" s="198"/>
      <c r="DW7" s="198"/>
      <c r="DX7" s="198"/>
      <c r="DY7" s="198"/>
      <c r="DZ7" s="198"/>
      <c r="EA7" s="198"/>
      <c r="EB7" s="198"/>
      <c r="EC7" s="198" t="s">
        <v>105</v>
      </c>
      <c r="ED7" s="198" t="s">
        <v>109</v>
      </c>
      <c r="EE7" s="198" t="s">
        <v>132</v>
      </c>
      <c r="EF7" s="198">
        <v>1111222201</v>
      </c>
      <c r="EG7" s="198" t="str">
        <f>C7</f>
        <v>KONSUMEN B</v>
      </c>
      <c r="EH7" s="198" t="s">
        <v>114</v>
      </c>
      <c r="EI7" s="198" t="s">
        <v>79</v>
      </c>
      <c r="EJ7" s="198">
        <v>1111222202</v>
      </c>
      <c r="EK7" s="198" t="str">
        <f t="shared" si="0"/>
        <v>KONSUMEN B</v>
      </c>
      <c r="EL7" s="200" t="s">
        <v>672</v>
      </c>
      <c r="EM7" s="198" t="s">
        <v>179</v>
      </c>
      <c r="EN7" s="198"/>
      <c r="EO7" s="198"/>
      <c r="EP7" s="198"/>
      <c r="EQ7" s="198" t="s">
        <v>501</v>
      </c>
      <c r="ER7" s="198"/>
      <c r="ES7" s="198"/>
      <c r="ET7" s="192" t="s">
        <v>133</v>
      </c>
      <c r="EU7" s="198" t="s">
        <v>824</v>
      </c>
      <c r="EV7" s="198" t="s">
        <v>800</v>
      </c>
      <c r="EW7" s="198" t="str">
        <f t="shared" si="1"/>
        <v>KONSUMEN B</v>
      </c>
      <c r="EX7" s="198"/>
      <c r="EY7" s="198" t="s">
        <v>83</v>
      </c>
      <c r="EZ7" s="198">
        <v>10</v>
      </c>
      <c r="FA7" s="198">
        <v>1</v>
      </c>
      <c r="FB7" s="198">
        <v>10000000</v>
      </c>
      <c r="FC7" s="200" t="s">
        <v>685</v>
      </c>
      <c r="FD7" s="192">
        <v>1122335</v>
      </c>
      <c r="FE7" s="233"/>
      <c r="FF7" s="233"/>
      <c r="FG7" s="233"/>
      <c r="FH7" s="233"/>
      <c r="FI7" s="235">
        <v>5</v>
      </c>
      <c r="FJ7" s="235"/>
      <c r="FK7" s="235">
        <v>2</v>
      </c>
      <c r="FL7" s="233" t="s">
        <v>931</v>
      </c>
      <c r="FM7" s="233"/>
      <c r="FN7" s="233"/>
      <c r="FO7" s="233"/>
      <c r="FP7" s="233"/>
      <c r="FQ7" s="233"/>
      <c r="FR7" s="198" t="s">
        <v>748</v>
      </c>
      <c r="FS7" s="198" t="s">
        <v>171</v>
      </c>
      <c r="FT7" s="198" t="s">
        <v>172</v>
      </c>
      <c r="FU7" s="198">
        <v>735947227</v>
      </c>
      <c r="FV7" s="198" t="s">
        <v>173</v>
      </c>
      <c r="FW7" s="198">
        <v>59185</v>
      </c>
      <c r="FX7" s="198" t="s">
        <v>174</v>
      </c>
      <c r="FY7" s="198" t="s">
        <v>175</v>
      </c>
      <c r="FZ7" s="198" t="s">
        <v>176</v>
      </c>
      <c r="GA7" s="198" t="s">
        <v>177</v>
      </c>
      <c r="GB7" s="198" t="s">
        <v>26</v>
      </c>
      <c r="GC7" s="198" t="s">
        <v>179</v>
      </c>
      <c r="GD7" s="198" t="s">
        <v>180</v>
      </c>
      <c r="GE7" s="198">
        <v>12430</v>
      </c>
      <c r="GF7" s="198" t="s">
        <v>182</v>
      </c>
      <c r="GG7" s="198" t="s">
        <v>178</v>
      </c>
      <c r="GH7" s="198" t="s">
        <v>90</v>
      </c>
      <c r="GI7" s="198" t="s">
        <v>90</v>
      </c>
      <c r="GJ7" s="198" t="s">
        <v>98</v>
      </c>
      <c r="GK7" s="198" t="s">
        <v>257</v>
      </c>
      <c r="GL7" s="200" t="s">
        <v>258</v>
      </c>
      <c r="GM7" s="200" t="s">
        <v>589</v>
      </c>
      <c r="GN7" s="200" t="s">
        <v>175</v>
      </c>
      <c r="GO7" s="192" t="s">
        <v>181</v>
      </c>
      <c r="GP7" s="198" t="s">
        <v>866</v>
      </c>
      <c r="GQ7" s="198"/>
      <c r="GR7" s="198">
        <v>5238528</v>
      </c>
      <c r="GS7" s="198" t="s">
        <v>185</v>
      </c>
      <c r="GT7" s="198" t="s">
        <v>749</v>
      </c>
      <c r="GU7" s="198" t="s">
        <v>200</v>
      </c>
      <c r="GV7" s="198" t="s">
        <v>201</v>
      </c>
      <c r="GW7" s="198" t="s">
        <v>201</v>
      </c>
      <c r="GX7" s="198" t="s">
        <v>393</v>
      </c>
      <c r="GY7" s="198"/>
      <c r="GZ7" s="198" t="s">
        <v>149</v>
      </c>
      <c r="HA7" s="198">
        <v>2023</v>
      </c>
      <c r="HB7" s="198" t="s">
        <v>202</v>
      </c>
      <c r="HC7" s="198" t="s">
        <v>203</v>
      </c>
      <c r="HD7" s="198" t="s">
        <v>175</v>
      </c>
      <c r="HE7" s="198" t="s">
        <v>204</v>
      </c>
      <c r="HF7" s="192" t="s">
        <v>179</v>
      </c>
      <c r="HG7" s="198" t="s">
        <v>907</v>
      </c>
      <c r="HH7" s="198" t="s">
        <v>953</v>
      </c>
      <c r="HI7" s="198" t="s">
        <v>955</v>
      </c>
      <c r="HJ7" s="198">
        <v>5000000</v>
      </c>
      <c r="HK7" s="198" t="s">
        <v>318</v>
      </c>
      <c r="HL7" s="198" t="s">
        <v>237</v>
      </c>
      <c r="HM7" s="198">
        <v>15</v>
      </c>
      <c r="HN7" s="198">
        <v>0</v>
      </c>
      <c r="HO7" s="198" t="s">
        <v>615</v>
      </c>
      <c r="HP7" s="198" t="s">
        <v>791</v>
      </c>
      <c r="HQ7" s="198" t="s">
        <v>750</v>
      </c>
      <c r="HR7" s="198" t="s">
        <v>613</v>
      </c>
      <c r="HS7" s="198" t="s">
        <v>614</v>
      </c>
      <c r="HT7" s="198" t="s">
        <v>805</v>
      </c>
      <c r="HU7" s="198">
        <v>250000000</v>
      </c>
      <c r="HV7" s="198">
        <v>10</v>
      </c>
      <c r="HW7" s="198"/>
      <c r="HX7" s="198">
        <v>24</v>
      </c>
      <c r="HY7" s="200" t="s">
        <v>806</v>
      </c>
      <c r="HZ7" s="200" t="s">
        <v>807</v>
      </c>
      <c r="IA7" s="198">
        <v>1000000</v>
      </c>
      <c r="IB7" s="198">
        <v>750000</v>
      </c>
      <c r="IC7" s="198" t="s">
        <v>391</v>
      </c>
      <c r="ID7" s="198" t="s">
        <v>233</v>
      </c>
      <c r="IE7" s="198" t="s">
        <v>233</v>
      </c>
      <c r="IF7" s="198"/>
      <c r="IG7" s="198" t="s">
        <v>318</v>
      </c>
      <c r="IH7" s="198" t="s">
        <v>597</v>
      </c>
      <c r="II7" s="198"/>
      <c r="IK7" s="198" t="s">
        <v>233</v>
      </c>
      <c r="IL7" s="198"/>
      <c r="IM7" s="198"/>
      <c r="IN7" s="198"/>
      <c r="IO7" s="198" t="s">
        <v>241</v>
      </c>
      <c r="IP7" s="198" t="s">
        <v>790</v>
      </c>
      <c r="IQ7" s="198">
        <v>24</v>
      </c>
      <c r="IR7" s="198" t="s">
        <v>243</v>
      </c>
      <c r="IS7" s="198" t="s">
        <v>233</v>
      </c>
      <c r="IT7" s="198" t="s">
        <v>244</v>
      </c>
      <c r="IU7" s="198" t="s">
        <v>233</v>
      </c>
      <c r="IV7" s="198" t="s">
        <v>237</v>
      </c>
      <c r="IW7" s="192" t="s">
        <v>233</v>
      </c>
      <c r="IX7" s="198" t="s">
        <v>850</v>
      </c>
      <c r="IY7" s="198" t="s">
        <v>248</v>
      </c>
      <c r="IZ7" s="198" t="s">
        <v>250</v>
      </c>
      <c r="JA7" s="192" t="s">
        <v>250</v>
      </c>
      <c r="JB7" s="198">
        <v>120100</v>
      </c>
      <c r="JC7" s="198" t="s">
        <v>501</v>
      </c>
      <c r="JD7" s="198">
        <v>12430</v>
      </c>
      <c r="JE7" s="198" t="s">
        <v>508</v>
      </c>
      <c r="JF7" s="198" t="s">
        <v>519</v>
      </c>
      <c r="JG7" s="198" t="s">
        <v>511</v>
      </c>
      <c r="JH7" s="198" t="s">
        <v>513</v>
      </c>
      <c r="JI7" s="198" t="s">
        <v>515</v>
      </c>
      <c r="JJ7" s="198" t="s">
        <v>517</v>
      </c>
      <c r="JK7" s="192" t="s">
        <v>105</v>
      </c>
    </row>
    <row r="8" spans="1:271" s="201" customFormat="1" ht="16.25" customHeight="1" x14ac:dyDescent="0.35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200"/>
      <c r="DB8" s="198" t="s">
        <v>94</v>
      </c>
      <c r="DC8" s="198" t="s">
        <v>98</v>
      </c>
      <c r="DD8" s="198" t="s">
        <v>101</v>
      </c>
      <c r="DE8" s="198" t="s">
        <v>102</v>
      </c>
      <c r="DF8" s="198"/>
      <c r="DG8" s="198"/>
      <c r="DH8" s="198"/>
      <c r="DI8" s="198"/>
      <c r="DJ8" s="198"/>
      <c r="DK8" s="198"/>
      <c r="DL8" s="198"/>
      <c r="DM8" s="198" t="s">
        <v>103</v>
      </c>
      <c r="DN8" s="198">
        <v>2000</v>
      </c>
      <c r="DO8" s="198" t="s">
        <v>104</v>
      </c>
      <c r="DP8" s="198">
        <v>10000000</v>
      </c>
      <c r="DQ8" s="198" t="s">
        <v>98</v>
      </c>
      <c r="DR8" s="198"/>
      <c r="DS8" s="198"/>
      <c r="DT8" s="198"/>
      <c r="DU8" s="198">
        <v>30000000</v>
      </c>
      <c r="DV8" s="198"/>
      <c r="DW8" s="198"/>
      <c r="DX8" s="198"/>
      <c r="DY8" s="198"/>
      <c r="DZ8" s="198"/>
      <c r="EA8" s="198"/>
      <c r="EB8" s="198"/>
      <c r="EC8" s="198" t="s">
        <v>105</v>
      </c>
      <c r="ED8" s="198" t="s">
        <v>109</v>
      </c>
      <c r="EE8" s="198" t="s">
        <v>132</v>
      </c>
      <c r="EF8" s="198">
        <v>1111222201</v>
      </c>
      <c r="EG8" s="198" t="str">
        <f t="shared" ref="EG8:EG13" si="4">C8</f>
        <v>KONSUMEN C</v>
      </c>
      <c r="EH8" s="198" t="s">
        <v>114</v>
      </c>
      <c r="EI8" s="198" t="s">
        <v>79</v>
      </c>
      <c r="EJ8" s="198">
        <v>1111222202</v>
      </c>
      <c r="EK8" s="198" t="str">
        <f t="shared" si="0"/>
        <v>KONSUMEN C</v>
      </c>
      <c r="EL8" s="200" t="s">
        <v>672</v>
      </c>
      <c r="EM8" s="198" t="s">
        <v>179</v>
      </c>
      <c r="EN8" s="198"/>
      <c r="EO8" s="198"/>
      <c r="EP8" s="198"/>
      <c r="EQ8" s="198" t="s">
        <v>501</v>
      </c>
      <c r="ER8" s="198"/>
      <c r="ES8" s="198"/>
      <c r="ET8" s="192" t="s">
        <v>133</v>
      </c>
      <c r="EU8" s="198" t="s">
        <v>825</v>
      </c>
      <c r="EV8" s="198" t="s">
        <v>800</v>
      </c>
      <c r="EW8" s="198" t="str">
        <f t="shared" si="1"/>
        <v>KONSUMEN C</v>
      </c>
      <c r="EX8" s="198"/>
      <c r="EY8" s="198" t="s">
        <v>83</v>
      </c>
      <c r="EZ8" s="198">
        <v>10</v>
      </c>
      <c r="FA8" s="198">
        <v>1</v>
      </c>
      <c r="FB8" s="198">
        <v>10000000</v>
      </c>
      <c r="FC8" s="200" t="s">
        <v>685</v>
      </c>
      <c r="FD8" s="192">
        <v>1122335</v>
      </c>
      <c r="FE8" s="233"/>
      <c r="FF8" s="233"/>
      <c r="FG8" s="233"/>
      <c r="FH8" s="233"/>
      <c r="FI8" s="235">
        <v>4</v>
      </c>
      <c r="FJ8" s="235"/>
      <c r="FK8" s="235">
        <v>3</v>
      </c>
      <c r="FL8" s="233" t="s">
        <v>932</v>
      </c>
      <c r="FM8" s="233"/>
      <c r="FN8" s="233"/>
      <c r="FO8" s="233"/>
      <c r="FP8" s="233"/>
      <c r="FQ8" s="233"/>
      <c r="FR8" s="198" t="s">
        <v>748</v>
      </c>
      <c r="FS8" s="198" t="s">
        <v>171</v>
      </c>
      <c r="FT8" s="198" t="s">
        <v>172</v>
      </c>
      <c r="FU8" s="198">
        <v>735947227</v>
      </c>
      <c r="FV8" s="198" t="s">
        <v>173</v>
      </c>
      <c r="FW8" s="198">
        <v>59185</v>
      </c>
      <c r="FX8" s="198" t="s">
        <v>174</v>
      </c>
      <c r="FY8" s="198" t="s">
        <v>175</v>
      </c>
      <c r="FZ8" s="198" t="s">
        <v>176</v>
      </c>
      <c r="GA8" s="198" t="s">
        <v>177</v>
      </c>
      <c r="GB8" s="198" t="s">
        <v>26</v>
      </c>
      <c r="GC8" s="198" t="s">
        <v>179</v>
      </c>
      <c r="GD8" s="198" t="s">
        <v>180</v>
      </c>
      <c r="GE8" s="198">
        <v>12430</v>
      </c>
      <c r="GF8" s="198" t="s">
        <v>182</v>
      </c>
      <c r="GG8" s="198" t="s">
        <v>178</v>
      </c>
      <c r="GH8" s="198" t="s">
        <v>90</v>
      </c>
      <c r="GI8" s="198" t="s">
        <v>90</v>
      </c>
      <c r="GJ8" s="198" t="s">
        <v>98</v>
      </c>
      <c r="GK8" s="198" t="s">
        <v>257</v>
      </c>
      <c r="GL8" s="200" t="s">
        <v>258</v>
      </c>
      <c r="GM8" s="200" t="s">
        <v>589</v>
      </c>
      <c r="GN8" s="200" t="s">
        <v>175</v>
      </c>
      <c r="GO8" s="192" t="s">
        <v>181</v>
      </c>
      <c r="GP8" s="198" t="s">
        <v>866</v>
      </c>
      <c r="GQ8" s="198"/>
      <c r="GR8" s="198">
        <v>5238528</v>
      </c>
      <c r="GS8" s="198" t="s">
        <v>185</v>
      </c>
      <c r="GT8" s="198" t="s">
        <v>749</v>
      </c>
      <c r="GU8" s="198" t="s">
        <v>200</v>
      </c>
      <c r="GV8" s="198" t="s">
        <v>201</v>
      </c>
      <c r="GW8" s="198" t="s">
        <v>201</v>
      </c>
      <c r="GX8" s="198" t="s">
        <v>393</v>
      </c>
      <c r="GY8" s="198"/>
      <c r="GZ8" s="198" t="s">
        <v>149</v>
      </c>
      <c r="HA8" s="198">
        <v>2023</v>
      </c>
      <c r="HB8" s="198" t="s">
        <v>202</v>
      </c>
      <c r="HC8" s="198" t="s">
        <v>203</v>
      </c>
      <c r="HD8" s="198" t="s">
        <v>175</v>
      </c>
      <c r="HE8" s="198" t="s">
        <v>204</v>
      </c>
      <c r="HF8" s="192" t="s">
        <v>179</v>
      </c>
      <c r="HG8" s="198" t="s">
        <v>907</v>
      </c>
      <c r="HH8" s="198" t="s">
        <v>953</v>
      </c>
      <c r="HI8" s="198" t="s">
        <v>954</v>
      </c>
      <c r="HJ8" s="198">
        <v>5000000</v>
      </c>
      <c r="HK8" s="198" t="s">
        <v>318</v>
      </c>
      <c r="HL8" s="198" t="s">
        <v>237</v>
      </c>
      <c r="HM8" s="198">
        <v>15</v>
      </c>
      <c r="HN8" s="198">
        <v>0</v>
      </c>
      <c r="HO8" s="198" t="s">
        <v>615</v>
      </c>
      <c r="HP8" s="198" t="s">
        <v>791</v>
      </c>
      <c r="HQ8" s="198" t="s">
        <v>750</v>
      </c>
      <c r="HR8" s="198" t="s">
        <v>613</v>
      </c>
      <c r="HS8" s="198" t="s">
        <v>614</v>
      </c>
      <c r="HT8" s="198" t="s">
        <v>805</v>
      </c>
      <c r="HU8" s="198">
        <v>250000000</v>
      </c>
      <c r="HV8" s="198">
        <v>10</v>
      </c>
      <c r="HW8" s="198"/>
      <c r="HX8" s="198">
        <v>24</v>
      </c>
      <c r="HY8" s="200" t="s">
        <v>806</v>
      </c>
      <c r="HZ8" s="200" t="s">
        <v>807</v>
      </c>
      <c r="IA8" s="198">
        <v>1000000</v>
      </c>
      <c r="IB8" s="198">
        <v>750000</v>
      </c>
      <c r="IC8" s="198" t="s">
        <v>391</v>
      </c>
      <c r="ID8" s="198" t="s">
        <v>233</v>
      </c>
      <c r="IE8" s="198" t="s">
        <v>233</v>
      </c>
      <c r="IF8" s="198"/>
      <c r="IG8" s="198" t="s">
        <v>318</v>
      </c>
      <c r="IH8" s="198" t="s">
        <v>597</v>
      </c>
      <c r="II8" s="198"/>
      <c r="IK8" s="198" t="s">
        <v>233</v>
      </c>
      <c r="IL8" s="198"/>
      <c r="IM8" s="198"/>
      <c r="IN8" s="198"/>
      <c r="IO8" s="198" t="s">
        <v>241</v>
      </c>
      <c r="IP8" s="198" t="s">
        <v>790</v>
      </c>
      <c r="IQ8" s="198">
        <v>24</v>
      </c>
      <c r="IR8" s="198" t="s">
        <v>243</v>
      </c>
      <c r="IS8" s="198" t="s">
        <v>233</v>
      </c>
      <c r="IT8" s="198" t="s">
        <v>244</v>
      </c>
      <c r="IU8" s="198" t="s">
        <v>233</v>
      </c>
      <c r="IV8" s="198" t="s">
        <v>237</v>
      </c>
      <c r="IW8" s="192" t="s">
        <v>233</v>
      </c>
      <c r="IX8" s="198" t="s">
        <v>850</v>
      </c>
      <c r="IY8" s="198" t="s">
        <v>248</v>
      </c>
      <c r="IZ8" s="198" t="s">
        <v>250</v>
      </c>
      <c r="JA8" s="192" t="s">
        <v>250</v>
      </c>
      <c r="JB8" s="198">
        <v>120100</v>
      </c>
      <c r="JC8" s="198" t="s">
        <v>501</v>
      </c>
      <c r="JD8" s="198">
        <v>12430</v>
      </c>
      <c r="JE8" s="198" t="s">
        <v>508</v>
      </c>
      <c r="JF8" s="198" t="s">
        <v>519</v>
      </c>
      <c r="JG8" s="198" t="s">
        <v>511</v>
      </c>
      <c r="JH8" s="198" t="s">
        <v>513</v>
      </c>
      <c r="JI8" s="198" t="s">
        <v>515</v>
      </c>
      <c r="JJ8" s="198" t="s">
        <v>517</v>
      </c>
      <c r="JK8" s="192" t="s">
        <v>105</v>
      </c>
    </row>
    <row r="9" spans="1:271" s="213" customFormat="1" ht="15.65" customHeight="1" x14ac:dyDescent="0.35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/>
      <c r="DB9" s="209" t="s">
        <v>94</v>
      </c>
      <c r="DC9" s="209" t="s">
        <v>98</v>
      </c>
      <c r="DD9" s="209" t="s">
        <v>101</v>
      </c>
      <c r="DE9" s="209" t="s">
        <v>102</v>
      </c>
      <c r="DF9" s="209"/>
      <c r="DG9" s="209"/>
      <c r="DH9" s="209"/>
      <c r="DI9" s="209"/>
      <c r="DJ9" s="209"/>
      <c r="DK9" s="209"/>
      <c r="DL9" s="209"/>
      <c r="DM9" s="209" t="s">
        <v>103</v>
      </c>
      <c r="DN9" s="209" t="s">
        <v>675</v>
      </c>
      <c r="DO9" s="209" t="s">
        <v>104</v>
      </c>
      <c r="DP9" s="209" t="s">
        <v>676</v>
      </c>
      <c r="DQ9" s="209" t="s">
        <v>98</v>
      </c>
      <c r="DR9" s="209"/>
      <c r="DS9" s="209"/>
      <c r="DT9" s="209"/>
      <c r="DU9" s="209" t="s">
        <v>677</v>
      </c>
      <c r="DV9" s="209"/>
      <c r="DW9" s="209"/>
      <c r="DX9" s="209"/>
      <c r="DY9" s="209"/>
      <c r="DZ9" s="209"/>
      <c r="EA9" s="209"/>
      <c r="EB9" s="209"/>
      <c r="EC9" s="209" t="s">
        <v>105</v>
      </c>
      <c r="ED9" s="209" t="s">
        <v>109</v>
      </c>
      <c r="EE9" s="209" t="s">
        <v>132</v>
      </c>
      <c r="EF9" s="209">
        <v>1111222204</v>
      </c>
      <c r="EG9" s="209" t="str">
        <f t="shared" si="4"/>
        <v>KONSUMEN D</v>
      </c>
      <c r="EH9" s="209" t="s">
        <v>114</v>
      </c>
      <c r="EI9" s="209" t="s">
        <v>79</v>
      </c>
      <c r="EJ9" s="209">
        <v>1111222203</v>
      </c>
      <c r="EK9" s="209" t="str">
        <f t="shared" si="0"/>
        <v>KONSUMEN D</v>
      </c>
      <c r="EL9" s="211" t="s">
        <v>673</v>
      </c>
      <c r="EM9" s="209" t="s">
        <v>179</v>
      </c>
      <c r="EN9" s="209"/>
      <c r="EO9" s="209"/>
      <c r="EP9" s="209"/>
      <c r="EQ9" s="209" t="s">
        <v>501</v>
      </c>
      <c r="ER9" s="209"/>
      <c r="ES9" s="209"/>
      <c r="ET9" s="202" t="s">
        <v>133</v>
      </c>
      <c r="EU9" s="209" t="s">
        <v>826</v>
      </c>
      <c r="EV9" s="209" t="s">
        <v>800</v>
      </c>
      <c r="EW9" s="209" t="str">
        <f t="shared" si="1"/>
        <v>KONSUMEN D</v>
      </c>
      <c r="EX9" s="209"/>
      <c r="EY9" s="209" t="s">
        <v>83</v>
      </c>
      <c r="EZ9" s="209">
        <v>10</v>
      </c>
      <c r="FA9" s="209">
        <v>1</v>
      </c>
      <c r="FB9" s="209">
        <v>10000000</v>
      </c>
      <c r="FC9" s="211" t="s">
        <v>685</v>
      </c>
      <c r="FD9" s="202">
        <v>1122334</v>
      </c>
      <c r="FE9" s="234"/>
      <c r="FF9" s="234"/>
      <c r="FG9" s="234"/>
      <c r="FH9" s="234"/>
      <c r="FI9" s="236">
        <v>3</v>
      </c>
      <c r="FJ9" s="236"/>
      <c r="FK9" s="236">
        <v>1</v>
      </c>
      <c r="FL9" s="234" t="s">
        <v>7</v>
      </c>
      <c r="FM9" s="234"/>
      <c r="FN9" s="234"/>
      <c r="FO9" s="234"/>
      <c r="FP9" s="234"/>
      <c r="FQ9" s="234"/>
      <c r="FR9" s="209" t="s">
        <v>748</v>
      </c>
      <c r="FS9" s="209" t="s">
        <v>171</v>
      </c>
      <c r="FT9" s="209" t="s">
        <v>172</v>
      </c>
      <c r="FU9" s="209">
        <v>735947227</v>
      </c>
      <c r="FV9" s="209" t="s">
        <v>173</v>
      </c>
      <c r="FW9" s="209">
        <v>59185</v>
      </c>
      <c r="FX9" s="209" t="s">
        <v>174</v>
      </c>
      <c r="FY9" s="209" t="s">
        <v>175</v>
      </c>
      <c r="FZ9" s="209" t="s">
        <v>176</v>
      </c>
      <c r="GA9" s="209" t="s">
        <v>177</v>
      </c>
      <c r="GB9" s="209" t="s">
        <v>26</v>
      </c>
      <c r="GC9" s="209" t="s">
        <v>179</v>
      </c>
      <c r="GD9" s="209" t="s">
        <v>180</v>
      </c>
      <c r="GE9" s="209">
        <v>12430</v>
      </c>
      <c r="GF9" s="209" t="s">
        <v>182</v>
      </c>
      <c r="GG9" s="209" t="s">
        <v>178</v>
      </c>
      <c r="GH9" s="209" t="s">
        <v>90</v>
      </c>
      <c r="GI9" s="209" t="s">
        <v>90</v>
      </c>
      <c r="GJ9" s="209" t="s">
        <v>98</v>
      </c>
      <c r="GK9" s="209" t="s">
        <v>257</v>
      </c>
      <c r="GL9" s="209" t="s">
        <v>258</v>
      </c>
      <c r="GM9" s="209" t="s">
        <v>589</v>
      </c>
      <c r="GN9" s="209" t="s">
        <v>175</v>
      </c>
      <c r="GO9" s="202" t="s">
        <v>181</v>
      </c>
      <c r="GP9" s="209" t="s">
        <v>866</v>
      </c>
      <c r="GQ9" s="209"/>
      <c r="GR9" s="209">
        <v>5238528</v>
      </c>
      <c r="GS9" s="209" t="s">
        <v>185</v>
      </c>
      <c r="GT9" s="209" t="s">
        <v>793</v>
      </c>
      <c r="GU9" s="209" t="s">
        <v>200</v>
      </c>
      <c r="GV9" s="209" t="s">
        <v>201</v>
      </c>
      <c r="GW9" s="209" t="s">
        <v>201</v>
      </c>
      <c r="GX9" s="209" t="s">
        <v>393</v>
      </c>
      <c r="GY9" s="209"/>
      <c r="GZ9" s="209" t="s">
        <v>149</v>
      </c>
      <c r="HA9" s="209">
        <v>2023</v>
      </c>
      <c r="HB9" s="209" t="s">
        <v>202</v>
      </c>
      <c r="HC9" s="209" t="s">
        <v>203</v>
      </c>
      <c r="HD9" s="209" t="s">
        <v>175</v>
      </c>
      <c r="HE9" s="209" t="s">
        <v>204</v>
      </c>
      <c r="HF9" s="202" t="s">
        <v>179</v>
      </c>
      <c r="HG9" s="198" t="s">
        <v>907</v>
      </c>
      <c r="HH9" s="209" t="s">
        <v>953</v>
      </c>
      <c r="HI9" s="198">
        <v>7892</v>
      </c>
      <c r="HJ9" s="209">
        <v>3000000</v>
      </c>
      <c r="HK9" s="209" t="s">
        <v>318</v>
      </c>
      <c r="HL9" s="209" t="s">
        <v>237</v>
      </c>
      <c r="HM9" s="209">
        <v>15</v>
      </c>
      <c r="HN9" s="209">
        <v>0</v>
      </c>
      <c r="HO9" s="209" t="s">
        <v>615</v>
      </c>
      <c r="HP9" s="198" t="s">
        <v>791</v>
      </c>
      <c r="HQ9" s="209" t="s">
        <v>750</v>
      </c>
      <c r="HR9" s="209" t="s">
        <v>613</v>
      </c>
      <c r="HS9" s="209" t="s">
        <v>614</v>
      </c>
      <c r="HT9" s="209" t="s">
        <v>805</v>
      </c>
      <c r="HU9" s="209">
        <v>250000000</v>
      </c>
      <c r="HV9" s="209">
        <v>10</v>
      </c>
      <c r="HW9" s="209"/>
      <c r="HX9" s="209">
        <v>24</v>
      </c>
      <c r="HY9" s="211" t="s">
        <v>806</v>
      </c>
      <c r="HZ9" s="211" t="s">
        <v>807</v>
      </c>
      <c r="IA9" s="209">
        <v>1000000</v>
      </c>
      <c r="IB9" s="209">
        <v>750000</v>
      </c>
      <c r="IC9" s="209" t="s">
        <v>391</v>
      </c>
      <c r="ID9" s="209" t="s">
        <v>233</v>
      </c>
      <c r="IE9" s="209" t="s">
        <v>233</v>
      </c>
      <c r="IF9" s="209"/>
      <c r="IG9" s="209" t="s">
        <v>318</v>
      </c>
      <c r="IH9" s="209" t="s">
        <v>597</v>
      </c>
      <c r="II9" s="209"/>
      <c r="IK9" s="209" t="s">
        <v>233</v>
      </c>
      <c r="IL9" s="209"/>
      <c r="IM9" s="209"/>
      <c r="IN9" s="209"/>
      <c r="IO9" s="198" t="s">
        <v>241</v>
      </c>
      <c r="IP9" s="209" t="s">
        <v>790</v>
      </c>
      <c r="IQ9" s="209">
        <v>24</v>
      </c>
      <c r="IR9" s="198" t="s">
        <v>243</v>
      </c>
      <c r="IS9" s="209" t="s">
        <v>233</v>
      </c>
      <c r="IT9" s="209" t="s">
        <v>244</v>
      </c>
      <c r="IU9" s="209" t="s">
        <v>233</v>
      </c>
      <c r="IV9" s="209" t="s">
        <v>237</v>
      </c>
      <c r="IW9" s="202" t="s">
        <v>233</v>
      </c>
      <c r="IX9" s="212" t="s">
        <v>850</v>
      </c>
      <c r="IY9" s="209" t="s">
        <v>248</v>
      </c>
      <c r="IZ9" s="209" t="s">
        <v>250</v>
      </c>
      <c r="JA9" s="202" t="s">
        <v>250</v>
      </c>
      <c r="JB9" s="209">
        <v>120100</v>
      </c>
      <c r="JC9" s="209" t="s">
        <v>501</v>
      </c>
      <c r="JD9" s="209">
        <v>12430</v>
      </c>
      <c r="JE9" s="209" t="s">
        <v>508</v>
      </c>
      <c r="JF9" s="209" t="s">
        <v>519</v>
      </c>
      <c r="JG9" s="209" t="s">
        <v>511</v>
      </c>
      <c r="JH9" s="209" t="s">
        <v>513</v>
      </c>
      <c r="JI9" s="209" t="s">
        <v>515</v>
      </c>
      <c r="JJ9" s="209" t="s">
        <v>517</v>
      </c>
      <c r="JK9" s="202" t="s">
        <v>105</v>
      </c>
    </row>
    <row r="10" spans="1:271" s="213" customFormat="1" x14ac:dyDescent="0.35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11"/>
      <c r="DB10" s="209" t="s">
        <v>94</v>
      </c>
      <c r="DC10" s="209" t="s">
        <v>98</v>
      </c>
      <c r="DD10" s="209" t="s">
        <v>101</v>
      </c>
      <c r="DE10" s="209" t="s">
        <v>102</v>
      </c>
      <c r="DF10" s="209"/>
      <c r="DG10" s="209"/>
      <c r="DH10" s="209"/>
      <c r="DI10" s="209"/>
      <c r="DJ10" s="209"/>
      <c r="DK10" s="209"/>
      <c r="DL10" s="209"/>
      <c r="DM10" s="209" t="s">
        <v>103</v>
      </c>
      <c r="DN10" s="209">
        <v>2000</v>
      </c>
      <c r="DO10" s="209" t="s">
        <v>104</v>
      </c>
      <c r="DP10" s="209">
        <v>10000000</v>
      </c>
      <c r="DQ10" s="209" t="s">
        <v>98</v>
      </c>
      <c r="DR10" s="209"/>
      <c r="DS10" s="209"/>
      <c r="DT10" s="209"/>
      <c r="DU10" s="209">
        <v>30000000</v>
      </c>
      <c r="DV10" s="209"/>
      <c r="DW10" s="209"/>
      <c r="DX10" s="209"/>
      <c r="DY10" s="209"/>
      <c r="DZ10" s="209"/>
      <c r="EA10" s="209"/>
      <c r="EB10" s="209"/>
      <c r="EC10" s="209" t="s">
        <v>105</v>
      </c>
      <c r="ED10" s="209" t="s">
        <v>109</v>
      </c>
      <c r="EE10" s="209" t="s">
        <v>132</v>
      </c>
      <c r="EF10" s="209">
        <v>1111222201</v>
      </c>
      <c r="EG10" s="209" t="str">
        <f t="shared" si="4"/>
        <v>KONSUMEN E</v>
      </c>
      <c r="EH10" s="209" t="s">
        <v>114</v>
      </c>
      <c r="EI10" s="209" t="s">
        <v>79</v>
      </c>
      <c r="EJ10" s="209">
        <v>1111222202</v>
      </c>
      <c r="EK10" s="209" t="str">
        <f t="shared" si="0"/>
        <v>KONSUMEN E</v>
      </c>
      <c r="EL10" s="211" t="s">
        <v>672</v>
      </c>
      <c r="EM10" s="209" t="s">
        <v>179</v>
      </c>
      <c r="EN10" s="209"/>
      <c r="EO10" s="209"/>
      <c r="EP10" s="209"/>
      <c r="EQ10" s="209" t="s">
        <v>501</v>
      </c>
      <c r="ER10" s="209"/>
      <c r="ES10" s="209"/>
      <c r="ET10" s="202" t="s">
        <v>133</v>
      </c>
      <c r="EU10" s="209" t="s">
        <v>827</v>
      </c>
      <c r="EV10" s="209" t="s">
        <v>800</v>
      </c>
      <c r="EW10" s="209" t="str">
        <f t="shared" si="1"/>
        <v>KONSUMEN E</v>
      </c>
      <c r="EX10" s="209"/>
      <c r="EY10" s="209" t="s">
        <v>83</v>
      </c>
      <c r="EZ10" s="209">
        <v>10</v>
      </c>
      <c r="FA10" s="209">
        <v>1</v>
      </c>
      <c r="FB10" s="209">
        <v>10000000</v>
      </c>
      <c r="FC10" s="211" t="s">
        <v>685</v>
      </c>
      <c r="FD10" s="202">
        <v>1122335</v>
      </c>
      <c r="FE10" s="234"/>
      <c r="FF10" s="234"/>
      <c r="FG10" s="234"/>
      <c r="FH10" s="234"/>
      <c r="FI10" s="236">
        <v>2</v>
      </c>
      <c r="FJ10" s="236"/>
      <c r="FK10" s="236">
        <v>2</v>
      </c>
      <c r="FL10" s="234" t="s">
        <v>933</v>
      </c>
      <c r="FM10" s="234"/>
      <c r="FN10" s="234"/>
      <c r="FO10" s="234"/>
      <c r="FP10" s="234"/>
      <c r="FQ10" s="234"/>
      <c r="FR10" s="209" t="s">
        <v>748</v>
      </c>
      <c r="FS10" s="209" t="s">
        <v>171</v>
      </c>
      <c r="FT10" s="209" t="s">
        <v>172</v>
      </c>
      <c r="FU10" s="209">
        <v>735947227</v>
      </c>
      <c r="FV10" s="209" t="s">
        <v>173</v>
      </c>
      <c r="FW10" s="209">
        <v>59185</v>
      </c>
      <c r="FX10" s="209" t="s">
        <v>174</v>
      </c>
      <c r="FY10" s="209" t="s">
        <v>175</v>
      </c>
      <c r="FZ10" s="209" t="s">
        <v>176</v>
      </c>
      <c r="GA10" s="209" t="s">
        <v>177</v>
      </c>
      <c r="GB10" s="209" t="s">
        <v>26</v>
      </c>
      <c r="GC10" s="209" t="s">
        <v>179</v>
      </c>
      <c r="GD10" s="209" t="s">
        <v>180</v>
      </c>
      <c r="GE10" s="209">
        <v>12430</v>
      </c>
      <c r="GF10" s="209" t="s">
        <v>182</v>
      </c>
      <c r="GG10" s="209" t="s">
        <v>178</v>
      </c>
      <c r="GH10" s="209" t="s">
        <v>90</v>
      </c>
      <c r="GI10" s="209" t="s">
        <v>90</v>
      </c>
      <c r="GJ10" s="209" t="s">
        <v>98</v>
      </c>
      <c r="GK10" s="209" t="s">
        <v>257</v>
      </c>
      <c r="GL10" s="211" t="s">
        <v>258</v>
      </c>
      <c r="GM10" s="211" t="s">
        <v>589</v>
      </c>
      <c r="GN10" s="211" t="s">
        <v>175</v>
      </c>
      <c r="GO10" s="202" t="s">
        <v>181</v>
      </c>
      <c r="GP10" s="209" t="s">
        <v>866</v>
      </c>
      <c r="GQ10" s="209"/>
      <c r="GR10" s="209">
        <v>5238528</v>
      </c>
      <c r="GS10" s="209" t="s">
        <v>185</v>
      </c>
      <c r="GT10" s="209" t="s">
        <v>749</v>
      </c>
      <c r="GU10" s="209" t="s">
        <v>200</v>
      </c>
      <c r="GV10" s="209" t="s">
        <v>201</v>
      </c>
      <c r="GW10" s="209" t="s">
        <v>201</v>
      </c>
      <c r="GX10" s="209" t="s">
        <v>393</v>
      </c>
      <c r="GY10" s="209"/>
      <c r="GZ10" s="209" t="s">
        <v>149</v>
      </c>
      <c r="HA10" s="209">
        <v>2023</v>
      </c>
      <c r="HB10" s="209" t="s">
        <v>202</v>
      </c>
      <c r="HC10" s="209" t="s">
        <v>203</v>
      </c>
      <c r="HD10" s="209" t="s">
        <v>175</v>
      </c>
      <c r="HE10" s="209" t="s">
        <v>204</v>
      </c>
      <c r="HF10" s="202" t="s">
        <v>179</v>
      </c>
      <c r="HG10" s="198" t="s">
        <v>907</v>
      </c>
      <c r="HH10" s="209" t="s">
        <v>953</v>
      </c>
      <c r="HI10" s="198" t="s">
        <v>955</v>
      </c>
      <c r="HJ10" s="209">
        <v>3000000</v>
      </c>
      <c r="HK10" s="209" t="s">
        <v>318</v>
      </c>
      <c r="HL10" s="209" t="s">
        <v>237</v>
      </c>
      <c r="HM10" s="209">
        <v>15</v>
      </c>
      <c r="HN10" s="209">
        <v>0</v>
      </c>
      <c r="HO10" s="209" t="s">
        <v>615</v>
      </c>
      <c r="HP10" s="198" t="s">
        <v>791</v>
      </c>
      <c r="HQ10" s="209" t="s">
        <v>750</v>
      </c>
      <c r="HR10" s="209" t="s">
        <v>613</v>
      </c>
      <c r="HS10" s="209" t="s">
        <v>614</v>
      </c>
      <c r="HT10" s="209" t="s">
        <v>805</v>
      </c>
      <c r="HU10" s="209">
        <v>250000000</v>
      </c>
      <c r="HV10" s="209">
        <v>10</v>
      </c>
      <c r="HW10" s="209"/>
      <c r="HX10" s="209">
        <v>24</v>
      </c>
      <c r="HY10" s="211" t="s">
        <v>806</v>
      </c>
      <c r="HZ10" s="211" t="s">
        <v>807</v>
      </c>
      <c r="IA10" s="209">
        <v>1000000</v>
      </c>
      <c r="IB10" s="209">
        <v>750000</v>
      </c>
      <c r="IC10" s="209" t="s">
        <v>391</v>
      </c>
      <c r="ID10" s="209" t="s">
        <v>233</v>
      </c>
      <c r="IE10" s="209" t="s">
        <v>233</v>
      </c>
      <c r="IF10" s="209"/>
      <c r="IG10" s="209" t="s">
        <v>318</v>
      </c>
      <c r="IH10" s="209" t="s">
        <v>597</v>
      </c>
      <c r="II10" s="209"/>
      <c r="IK10" s="209" t="s">
        <v>233</v>
      </c>
      <c r="IL10" s="209"/>
      <c r="IM10" s="209"/>
      <c r="IN10" s="209"/>
      <c r="IO10" s="198" t="s">
        <v>241</v>
      </c>
      <c r="IP10" s="209" t="s">
        <v>790</v>
      </c>
      <c r="IQ10" s="209">
        <v>24</v>
      </c>
      <c r="IR10" s="198" t="s">
        <v>243</v>
      </c>
      <c r="IS10" s="209" t="s">
        <v>233</v>
      </c>
      <c r="IT10" s="209" t="s">
        <v>244</v>
      </c>
      <c r="IU10" s="209" t="s">
        <v>233</v>
      </c>
      <c r="IV10" s="209" t="s">
        <v>237</v>
      </c>
      <c r="IW10" s="202" t="s">
        <v>233</v>
      </c>
      <c r="IX10" s="209" t="s">
        <v>850</v>
      </c>
      <c r="IY10" s="209" t="s">
        <v>248</v>
      </c>
      <c r="IZ10" s="209" t="s">
        <v>250</v>
      </c>
      <c r="JA10" s="202" t="s">
        <v>250</v>
      </c>
      <c r="JB10" s="209">
        <v>120100</v>
      </c>
      <c r="JC10" s="209" t="s">
        <v>501</v>
      </c>
      <c r="JD10" s="209">
        <v>12430</v>
      </c>
      <c r="JE10" s="209" t="s">
        <v>508</v>
      </c>
      <c r="JF10" s="209" t="s">
        <v>519</v>
      </c>
      <c r="JG10" s="209" t="s">
        <v>511</v>
      </c>
      <c r="JH10" s="209" t="s">
        <v>513</v>
      </c>
      <c r="JI10" s="209" t="s">
        <v>515</v>
      </c>
      <c r="JJ10" s="209" t="s">
        <v>517</v>
      </c>
      <c r="JK10" s="202" t="s">
        <v>105</v>
      </c>
    </row>
    <row r="11" spans="1:271" s="201" customFormat="1" x14ac:dyDescent="0.35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82</v>
      </c>
      <c r="CY11" s="198" t="s">
        <v>0</v>
      </c>
      <c r="CZ11" s="200" t="s">
        <v>798</v>
      </c>
      <c r="DA11" s="200"/>
      <c r="DB11" s="198" t="s">
        <v>94</v>
      </c>
      <c r="DC11" s="198" t="s">
        <v>98</v>
      </c>
      <c r="DD11" s="198" t="s">
        <v>101</v>
      </c>
      <c r="DE11" s="198" t="s">
        <v>102</v>
      </c>
      <c r="DF11" s="198"/>
      <c r="DG11" s="198"/>
      <c r="DH11" s="198"/>
      <c r="DI11" s="198"/>
      <c r="DJ11" s="198"/>
      <c r="DK11" s="198"/>
      <c r="DL11" s="198"/>
      <c r="DM11" s="198" t="s">
        <v>103</v>
      </c>
      <c r="DN11" s="198">
        <v>2000</v>
      </c>
      <c r="DO11" s="198" t="s">
        <v>104</v>
      </c>
      <c r="DP11" s="198">
        <v>10000000</v>
      </c>
      <c r="DQ11" s="198" t="s">
        <v>98</v>
      </c>
      <c r="DR11" s="198"/>
      <c r="DS11" s="198"/>
      <c r="DT11" s="198"/>
      <c r="DU11" s="198">
        <v>30000000</v>
      </c>
      <c r="DV11" s="198"/>
      <c r="DW11" s="198"/>
      <c r="DX11" s="198"/>
      <c r="DY11" s="198"/>
      <c r="DZ11" s="198"/>
      <c r="EA11" s="198"/>
      <c r="EB11" s="198"/>
      <c r="EC11" s="198" t="s">
        <v>105</v>
      </c>
      <c r="ED11" s="198" t="s">
        <v>109</v>
      </c>
      <c r="EE11" s="198" t="s">
        <v>132</v>
      </c>
      <c r="EF11" s="198">
        <v>1111222205</v>
      </c>
      <c r="EG11" s="198" t="str">
        <f t="shared" si="4"/>
        <v>KONSUMEN F</v>
      </c>
      <c r="EH11" s="198" t="s">
        <v>114</v>
      </c>
      <c r="EI11" s="198" t="s">
        <v>78</v>
      </c>
      <c r="EJ11" s="198"/>
      <c r="EK11" s="198"/>
      <c r="EL11" s="198"/>
      <c r="EM11" s="198"/>
      <c r="EN11" s="198"/>
      <c r="EO11" s="198"/>
      <c r="EP11" s="198"/>
      <c r="EQ11" s="198" t="s">
        <v>501</v>
      </c>
      <c r="ER11" s="198"/>
      <c r="ES11" s="198"/>
      <c r="ET11" s="192" t="s">
        <v>133</v>
      </c>
      <c r="EU11" s="198" t="s">
        <v>683</v>
      </c>
      <c r="EV11" s="198" t="s">
        <v>802</v>
      </c>
      <c r="EW11" s="198" t="s">
        <v>243</v>
      </c>
      <c r="EX11" s="198"/>
      <c r="EY11" s="198" t="s">
        <v>83</v>
      </c>
      <c r="EZ11" s="198">
        <v>10</v>
      </c>
      <c r="FA11" s="198">
        <v>1</v>
      </c>
      <c r="FB11" s="198">
        <v>10000000</v>
      </c>
      <c r="FC11" s="200" t="s">
        <v>685</v>
      </c>
      <c r="FD11" s="192">
        <v>1122333</v>
      </c>
      <c r="FE11" s="233"/>
      <c r="FF11" s="233"/>
      <c r="FG11" s="233"/>
      <c r="FH11" s="233"/>
      <c r="FI11" s="235">
        <v>1</v>
      </c>
      <c r="FJ11" s="235"/>
      <c r="FK11" s="235">
        <v>3</v>
      </c>
      <c r="FL11" s="233" t="s">
        <v>8</v>
      </c>
      <c r="FM11" s="233"/>
      <c r="FN11" s="233"/>
      <c r="FO11" s="233"/>
      <c r="FP11" s="233"/>
      <c r="FQ11" s="233"/>
      <c r="FR11" s="198" t="s">
        <v>170</v>
      </c>
      <c r="FS11" s="198" t="s">
        <v>171</v>
      </c>
      <c r="FT11" s="198" t="s">
        <v>172</v>
      </c>
      <c r="FU11" s="198">
        <v>735947227</v>
      </c>
      <c r="FV11" s="198" t="s">
        <v>173</v>
      </c>
      <c r="FW11" s="198">
        <v>59185</v>
      </c>
      <c r="FX11" s="198" t="s">
        <v>174</v>
      </c>
      <c r="FY11" s="198" t="s">
        <v>175</v>
      </c>
      <c r="FZ11" s="198" t="s">
        <v>176</v>
      </c>
      <c r="GA11" s="198" t="s">
        <v>177</v>
      </c>
      <c r="GB11" s="198" t="s">
        <v>26</v>
      </c>
      <c r="GC11" s="198" t="s">
        <v>179</v>
      </c>
      <c r="GD11" s="198" t="s">
        <v>180</v>
      </c>
      <c r="GE11" s="198">
        <v>12430</v>
      </c>
      <c r="GF11" s="198" t="s">
        <v>182</v>
      </c>
      <c r="GG11" s="198" t="s">
        <v>178</v>
      </c>
      <c r="GH11" s="198" t="s">
        <v>90</v>
      </c>
      <c r="GI11" s="198" t="s">
        <v>90</v>
      </c>
      <c r="GJ11" s="198" t="s">
        <v>98</v>
      </c>
      <c r="GK11" s="198" t="s">
        <v>257</v>
      </c>
      <c r="GL11" s="198" t="s">
        <v>258</v>
      </c>
      <c r="GM11" s="198" t="s">
        <v>589</v>
      </c>
      <c r="GN11" s="198" t="s">
        <v>175</v>
      </c>
      <c r="GO11" s="192" t="s">
        <v>181</v>
      </c>
      <c r="GP11" s="198" t="s">
        <v>866</v>
      </c>
      <c r="GQ11" s="198"/>
      <c r="GR11" s="198">
        <v>5238528</v>
      </c>
      <c r="GS11" s="198" t="s">
        <v>185</v>
      </c>
      <c r="GT11" s="198" t="s">
        <v>749</v>
      </c>
      <c r="GU11" s="198" t="s">
        <v>200</v>
      </c>
      <c r="GV11" s="198" t="s">
        <v>201</v>
      </c>
      <c r="GW11" s="198" t="s">
        <v>201</v>
      </c>
      <c r="GX11" s="198" t="s">
        <v>393</v>
      </c>
      <c r="GY11" s="198"/>
      <c r="GZ11" s="198" t="s">
        <v>149</v>
      </c>
      <c r="HA11" s="198">
        <v>2023</v>
      </c>
      <c r="HB11" s="198" t="s">
        <v>202</v>
      </c>
      <c r="HC11" s="198" t="s">
        <v>203</v>
      </c>
      <c r="HD11" s="198" t="s">
        <v>175</v>
      </c>
      <c r="HE11" s="198" t="s">
        <v>204</v>
      </c>
      <c r="HF11" s="192" t="s">
        <v>179</v>
      </c>
      <c r="HG11" s="198" t="s">
        <v>907</v>
      </c>
      <c r="HH11" s="198" t="s">
        <v>953</v>
      </c>
      <c r="HI11" s="198" t="s">
        <v>954</v>
      </c>
      <c r="HJ11" s="198">
        <v>5000000</v>
      </c>
      <c r="HK11" s="198" t="s">
        <v>318</v>
      </c>
      <c r="HL11" s="198" t="s">
        <v>237</v>
      </c>
      <c r="HM11" s="198">
        <v>15</v>
      </c>
      <c r="HN11" s="198">
        <v>0</v>
      </c>
      <c r="HO11" s="198" t="s">
        <v>615</v>
      </c>
      <c r="HP11" s="198" t="s">
        <v>791</v>
      </c>
      <c r="HQ11" s="198" t="s">
        <v>750</v>
      </c>
      <c r="HR11" s="198" t="s">
        <v>613</v>
      </c>
      <c r="HS11" s="198" t="s">
        <v>614</v>
      </c>
      <c r="HT11" s="198" t="s">
        <v>805</v>
      </c>
      <c r="HU11" s="198">
        <v>250000000</v>
      </c>
      <c r="HV11" s="198">
        <v>10</v>
      </c>
      <c r="HW11" s="198"/>
      <c r="HX11" s="198">
        <v>24</v>
      </c>
      <c r="HY11" s="200" t="s">
        <v>806</v>
      </c>
      <c r="HZ11" s="200" t="s">
        <v>807</v>
      </c>
      <c r="IA11" s="198">
        <v>1000000</v>
      </c>
      <c r="IB11" s="198">
        <v>750000</v>
      </c>
      <c r="IC11" s="198" t="s">
        <v>391</v>
      </c>
      <c r="ID11" s="198" t="s">
        <v>233</v>
      </c>
      <c r="IE11" s="198" t="s">
        <v>233</v>
      </c>
      <c r="IF11" s="198"/>
      <c r="IG11" s="198" t="s">
        <v>318</v>
      </c>
      <c r="IH11" s="198" t="s">
        <v>597</v>
      </c>
      <c r="II11" s="198"/>
      <c r="IK11" s="198" t="s">
        <v>233</v>
      </c>
      <c r="IL11" s="198"/>
      <c r="IM11" s="198"/>
      <c r="IN11" s="198"/>
      <c r="IO11" s="198" t="s">
        <v>241</v>
      </c>
      <c r="IP11" s="198" t="s">
        <v>790</v>
      </c>
      <c r="IQ11" s="198">
        <v>24</v>
      </c>
      <c r="IR11" s="198" t="s">
        <v>243</v>
      </c>
      <c r="IS11" s="198" t="s">
        <v>233</v>
      </c>
      <c r="IT11" s="198" t="s">
        <v>244</v>
      </c>
      <c r="IU11" s="198" t="s">
        <v>233</v>
      </c>
      <c r="IV11" s="198" t="s">
        <v>237</v>
      </c>
      <c r="IW11" s="192" t="s">
        <v>233</v>
      </c>
      <c r="IX11" s="217" t="s">
        <v>850</v>
      </c>
      <c r="IY11" s="198" t="s">
        <v>248</v>
      </c>
      <c r="IZ11" s="198" t="s">
        <v>250</v>
      </c>
      <c r="JA11" s="192" t="s">
        <v>250</v>
      </c>
      <c r="JB11" s="198">
        <v>120100</v>
      </c>
      <c r="JC11" s="198" t="s">
        <v>501</v>
      </c>
      <c r="JD11" s="198">
        <v>12430</v>
      </c>
      <c r="JE11" s="198" t="s">
        <v>508</v>
      </c>
      <c r="JF11" s="198" t="s">
        <v>519</v>
      </c>
      <c r="JG11" s="198" t="s">
        <v>511</v>
      </c>
      <c r="JH11" s="198" t="s">
        <v>513</v>
      </c>
      <c r="JI11" s="198" t="s">
        <v>515</v>
      </c>
      <c r="JJ11" s="198" t="s">
        <v>517</v>
      </c>
      <c r="JK11" s="192" t="s">
        <v>105</v>
      </c>
    </row>
    <row r="12" spans="1:271" s="201" customFormat="1" x14ac:dyDescent="0.35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82</v>
      </c>
      <c r="CY12" s="198" t="s">
        <v>0</v>
      </c>
      <c r="CZ12" s="200" t="s">
        <v>798</v>
      </c>
      <c r="DA12" s="200"/>
      <c r="DB12" s="198" t="s">
        <v>94</v>
      </c>
      <c r="DC12" s="198" t="s">
        <v>98</v>
      </c>
      <c r="DD12" s="198" t="s">
        <v>101</v>
      </c>
      <c r="DE12" s="198" t="s">
        <v>102</v>
      </c>
      <c r="DF12" s="198"/>
      <c r="DG12" s="198"/>
      <c r="DH12" s="198"/>
      <c r="DI12" s="198"/>
      <c r="DJ12" s="198"/>
      <c r="DK12" s="198"/>
      <c r="DL12" s="198"/>
      <c r="DM12" s="198" t="s">
        <v>103</v>
      </c>
      <c r="DN12" s="198">
        <v>2000</v>
      </c>
      <c r="DO12" s="198" t="s">
        <v>104</v>
      </c>
      <c r="DP12" s="198">
        <v>10000000</v>
      </c>
      <c r="DQ12" s="198" t="s">
        <v>98</v>
      </c>
      <c r="DR12" s="198"/>
      <c r="DS12" s="198"/>
      <c r="DT12" s="198"/>
      <c r="DU12" s="198">
        <v>30000000</v>
      </c>
      <c r="DV12" s="198"/>
      <c r="DW12" s="198"/>
      <c r="DX12" s="198"/>
      <c r="DY12" s="198"/>
      <c r="DZ12" s="198"/>
      <c r="EA12" s="198"/>
      <c r="EB12" s="198"/>
      <c r="EC12" s="198" t="s">
        <v>105</v>
      </c>
      <c r="ED12" s="198" t="s">
        <v>109</v>
      </c>
      <c r="EE12" s="198" t="s">
        <v>132</v>
      </c>
      <c r="EF12" s="198">
        <v>1111222205</v>
      </c>
      <c r="EG12" s="198" t="str">
        <f t="shared" si="4"/>
        <v>KONSUMEN G</v>
      </c>
      <c r="EH12" s="198" t="s">
        <v>114</v>
      </c>
      <c r="EI12" s="198" t="s">
        <v>78</v>
      </c>
      <c r="EJ12" s="198"/>
      <c r="EK12" s="198"/>
      <c r="EL12" s="198"/>
      <c r="EM12" s="198"/>
      <c r="EN12" s="198"/>
      <c r="EO12" s="198"/>
      <c r="EP12" s="198"/>
      <c r="EQ12" s="198" t="s">
        <v>501</v>
      </c>
      <c r="ER12" s="198"/>
      <c r="ES12" s="198"/>
      <c r="ET12" s="192" t="s">
        <v>133</v>
      </c>
      <c r="EU12" s="198" t="s">
        <v>683</v>
      </c>
      <c r="EV12" s="198" t="s">
        <v>802</v>
      </c>
      <c r="EW12" s="198" t="s">
        <v>243</v>
      </c>
      <c r="EX12" s="198"/>
      <c r="EY12" s="198" t="s">
        <v>83</v>
      </c>
      <c r="EZ12" s="198">
        <v>10</v>
      </c>
      <c r="FA12" s="198">
        <v>1</v>
      </c>
      <c r="FB12" s="198">
        <v>10000000</v>
      </c>
      <c r="FC12" s="200" t="s">
        <v>685</v>
      </c>
      <c r="FD12" s="192">
        <v>1122333</v>
      </c>
      <c r="FE12" s="233"/>
      <c r="FF12" s="233"/>
      <c r="FG12" s="233"/>
      <c r="FH12" s="233"/>
      <c r="FI12" s="235">
        <v>11</v>
      </c>
      <c r="FJ12" s="235"/>
      <c r="FK12" s="235">
        <v>4</v>
      </c>
      <c r="FL12" s="233" t="s">
        <v>927</v>
      </c>
      <c r="FM12" s="233"/>
      <c r="FN12" s="233"/>
      <c r="FO12" s="233"/>
      <c r="FP12" s="233"/>
      <c r="FQ12" s="233"/>
      <c r="FR12" s="198" t="s">
        <v>170</v>
      </c>
      <c r="FS12" s="198" t="s">
        <v>171</v>
      </c>
      <c r="FT12" s="198" t="s">
        <v>172</v>
      </c>
      <c r="FU12" s="198">
        <v>735947227</v>
      </c>
      <c r="FV12" s="198" t="s">
        <v>173</v>
      </c>
      <c r="FW12" s="198">
        <v>59185</v>
      </c>
      <c r="FX12" s="198" t="s">
        <v>174</v>
      </c>
      <c r="FY12" s="198" t="s">
        <v>175</v>
      </c>
      <c r="FZ12" s="198" t="s">
        <v>176</v>
      </c>
      <c r="GA12" s="198" t="s">
        <v>177</v>
      </c>
      <c r="GB12" s="198" t="s">
        <v>26</v>
      </c>
      <c r="GC12" s="198" t="s">
        <v>179</v>
      </c>
      <c r="GD12" s="198" t="s">
        <v>180</v>
      </c>
      <c r="GE12" s="198">
        <v>12430</v>
      </c>
      <c r="GF12" s="198" t="s">
        <v>182</v>
      </c>
      <c r="GG12" s="198" t="s">
        <v>178</v>
      </c>
      <c r="GH12" s="198" t="s">
        <v>90</v>
      </c>
      <c r="GI12" s="198" t="s">
        <v>90</v>
      </c>
      <c r="GJ12" s="198" t="s">
        <v>98</v>
      </c>
      <c r="GK12" s="198" t="s">
        <v>257</v>
      </c>
      <c r="GL12" s="198" t="s">
        <v>258</v>
      </c>
      <c r="GM12" s="198" t="s">
        <v>589</v>
      </c>
      <c r="GN12" s="198" t="s">
        <v>175</v>
      </c>
      <c r="GO12" s="192" t="s">
        <v>181</v>
      </c>
      <c r="GP12" s="198" t="s">
        <v>866</v>
      </c>
      <c r="GQ12" s="198"/>
      <c r="GR12" s="198">
        <v>5238528</v>
      </c>
      <c r="GS12" s="198" t="s">
        <v>185</v>
      </c>
      <c r="GT12" s="198" t="s">
        <v>749</v>
      </c>
      <c r="GU12" s="198" t="s">
        <v>200</v>
      </c>
      <c r="GV12" s="198" t="s">
        <v>201</v>
      </c>
      <c r="GW12" s="198" t="s">
        <v>201</v>
      </c>
      <c r="GX12" s="198" t="s">
        <v>393</v>
      </c>
      <c r="GY12" s="198"/>
      <c r="GZ12" s="198" t="s">
        <v>149</v>
      </c>
      <c r="HA12" s="198">
        <v>2023</v>
      </c>
      <c r="HB12" s="198" t="s">
        <v>202</v>
      </c>
      <c r="HC12" s="198" t="s">
        <v>203</v>
      </c>
      <c r="HD12" s="198" t="s">
        <v>175</v>
      </c>
      <c r="HE12" s="198" t="s">
        <v>204</v>
      </c>
      <c r="HF12" s="192" t="s">
        <v>179</v>
      </c>
      <c r="HG12" s="198" t="s">
        <v>907</v>
      </c>
      <c r="HH12" s="198" t="s">
        <v>953</v>
      </c>
      <c r="HI12" s="198">
        <v>7892</v>
      </c>
      <c r="HJ12" s="198">
        <v>5000000</v>
      </c>
      <c r="HK12" s="198" t="s">
        <v>318</v>
      </c>
      <c r="HL12" s="198" t="s">
        <v>237</v>
      </c>
      <c r="HM12" s="198">
        <v>15</v>
      </c>
      <c r="HN12" s="198">
        <v>0</v>
      </c>
      <c r="HO12" s="198" t="s">
        <v>615</v>
      </c>
      <c r="HP12" s="198" t="s">
        <v>791</v>
      </c>
      <c r="HQ12" s="198" t="s">
        <v>750</v>
      </c>
      <c r="HR12" s="198" t="s">
        <v>613</v>
      </c>
      <c r="HS12" s="198" t="s">
        <v>614</v>
      </c>
      <c r="HT12" s="198" t="s">
        <v>805</v>
      </c>
      <c r="HU12" s="198">
        <v>250000000</v>
      </c>
      <c r="HV12" s="198">
        <v>10</v>
      </c>
      <c r="HW12" s="198"/>
      <c r="HX12" s="198">
        <v>24</v>
      </c>
      <c r="HY12" s="200" t="s">
        <v>806</v>
      </c>
      <c r="HZ12" s="200" t="s">
        <v>807</v>
      </c>
      <c r="IA12" s="198">
        <v>1000000</v>
      </c>
      <c r="IB12" s="198">
        <v>750000</v>
      </c>
      <c r="IC12" s="198" t="s">
        <v>391</v>
      </c>
      <c r="ID12" s="198" t="s">
        <v>233</v>
      </c>
      <c r="IE12" s="198" t="s">
        <v>233</v>
      </c>
      <c r="IF12" s="198"/>
      <c r="IG12" s="198" t="s">
        <v>318</v>
      </c>
      <c r="IH12" s="198" t="s">
        <v>597</v>
      </c>
      <c r="II12" s="198"/>
      <c r="IK12" s="198" t="s">
        <v>233</v>
      </c>
      <c r="IL12" s="198"/>
      <c r="IM12" s="198"/>
      <c r="IN12" s="198"/>
      <c r="IO12" s="198" t="s">
        <v>241</v>
      </c>
      <c r="IP12" s="198" t="s">
        <v>790</v>
      </c>
      <c r="IQ12" s="198">
        <v>24</v>
      </c>
      <c r="IR12" s="198" t="s">
        <v>243</v>
      </c>
      <c r="IS12" s="198" t="s">
        <v>233</v>
      </c>
      <c r="IT12" s="198" t="s">
        <v>244</v>
      </c>
      <c r="IU12" s="198" t="s">
        <v>233</v>
      </c>
      <c r="IV12" s="198" t="s">
        <v>237</v>
      </c>
      <c r="IW12" s="192" t="s">
        <v>233</v>
      </c>
      <c r="IX12" s="217" t="s">
        <v>850</v>
      </c>
      <c r="IY12" s="198" t="s">
        <v>248</v>
      </c>
      <c r="IZ12" s="198" t="s">
        <v>250</v>
      </c>
      <c r="JA12" s="192" t="s">
        <v>250</v>
      </c>
      <c r="JB12" s="198">
        <v>120100</v>
      </c>
      <c r="JC12" s="198" t="s">
        <v>501</v>
      </c>
      <c r="JD12" s="198">
        <v>12430</v>
      </c>
      <c r="JE12" s="198" t="s">
        <v>508</v>
      </c>
      <c r="JF12" s="198" t="s">
        <v>519</v>
      </c>
      <c r="JG12" s="198" t="s">
        <v>511</v>
      </c>
      <c r="JH12" s="198" t="s">
        <v>513</v>
      </c>
      <c r="JI12" s="198" t="s">
        <v>515</v>
      </c>
      <c r="JJ12" s="198" t="s">
        <v>517</v>
      </c>
      <c r="JK12" s="192" t="s">
        <v>105</v>
      </c>
    </row>
    <row r="13" spans="1:271" s="201" customFormat="1" x14ac:dyDescent="0.35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82</v>
      </c>
      <c r="CY13" s="198" t="s">
        <v>0</v>
      </c>
      <c r="CZ13" s="200" t="s">
        <v>798</v>
      </c>
      <c r="DA13" s="200"/>
      <c r="DB13" s="198" t="s">
        <v>94</v>
      </c>
      <c r="DC13" s="198" t="s">
        <v>98</v>
      </c>
      <c r="DD13" s="198" t="s">
        <v>101</v>
      </c>
      <c r="DE13" s="198" t="s">
        <v>102</v>
      </c>
      <c r="DF13" s="198"/>
      <c r="DG13" s="198"/>
      <c r="DH13" s="198"/>
      <c r="DI13" s="198"/>
      <c r="DJ13" s="198"/>
      <c r="DK13" s="198"/>
      <c r="DL13" s="198"/>
      <c r="DM13" s="198" t="s">
        <v>103</v>
      </c>
      <c r="DN13" s="198">
        <v>2000</v>
      </c>
      <c r="DO13" s="198" t="s">
        <v>104</v>
      </c>
      <c r="DP13" s="198">
        <v>10000000</v>
      </c>
      <c r="DQ13" s="198" t="s">
        <v>98</v>
      </c>
      <c r="DR13" s="198"/>
      <c r="DS13" s="198"/>
      <c r="DT13" s="198"/>
      <c r="DU13" s="198">
        <v>30000000</v>
      </c>
      <c r="DV13" s="198"/>
      <c r="DW13" s="198"/>
      <c r="DX13" s="198"/>
      <c r="DY13" s="198"/>
      <c r="DZ13" s="198"/>
      <c r="EA13" s="198"/>
      <c r="EB13" s="198"/>
      <c r="EC13" s="198" t="s">
        <v>105</v>
      </c>
      <c r="ED13" s="198" t="s">
        <v>109</v>
      </c>
      <c r="EE13" s="198" t="s">
        <v>132</v>
      </c>
      <c r="EF13" s="198">
        <v>1111222205</v>
      </c>
      <c r="EG13" s="198" t="str">
        <f t="shared" si="4"/>
        <v>KONSUMEN H</v>
      </c>
      <c r="EH13" s="198" t="s">
        <v>114</v>
      </c>
      <c r="EI13" s="198" t="s">
        <v>78</v>
      </c>
      <c r="EJ13" s="198"/>
      <c r="EK13" s="198"/>
      <c r="EL13" s="198"/>
      <c r="EM13" s="198"/>
      <c r="EN13" s="198"/>
      <c r="EO13" s="198"/>
      <c r="EP13" s="198"/>
      <c r="EQ13" s="198" t="s">
        <v>501</v>
      </c>
      <c r="ER13" s="198"/>
      <c r="ES13" s="198"/>
      <c r="ET13" s="192" t="s">
        <v>133</v>
      </c>
      <c r="EU13" s="198" t="s">
        <v>683</v>
      </c>
      <c r="EV13" s="198" t="s">
        <v>802</v>
      </c>
      <c r="EW13" s="198" t="s">
        <v>243</v>
      </c>
      <c r="EX13" s="198"/>
      <c r="EY13" s="198" t="s">
        <v>83</v>
      </c>
      <c r="EZ13" s="198">
        <v>10</v>
      </c>
      <c r="FA13" s="198">
        <v>1</v>
      </c>
      <c r="FB13" s="198">
        <v>10000000</v>
      </c>
      <c r="FC13" s="200" t="s">
        <v>685</v>
      </c>
      <c r="FD13" s="192">
        <v>1122333</v>
      </c>
      <c r="FE13" s="233"/>
      <c r="FF13" s="233"/>
      <c r="FG13" s="233"/>
      <c r="FH13" s="233"/>
      <c r="FI13" s="235">
        <v>12</v>
      </c>
      <c r="FJ13" s="235"/>
      <c r="FK13" s="235">
        <v>1</v>
      </c>
      <c r="FL13" s="233" t="s">
        <v>912</v>
      </c>
      <c r="FM13" s="233"/>
      <c r="FN13" s="233"/>
      <c r="FO13" s="233"/>
      <c r="FP13" s="233"/>
      <c r="FQ13" s="233"/>
      <c r="FR13" s="198" t="s">
        <v>170</v>
      </c>
      <c r="FS13" s="198" t="s">
        <v>171</v>
      </c>
      <c r="FT13" s="198" t="s">
        <v>172</v>
      </c>
      <c r="FU13" s="198">
        <v>735947227</v>
      </c>
      <c r="FV13" s="198" t="s">
        <v>173</v>
      </c>
      <c r="FW13" s="198">
        <v>59185</v>
      </c>
      <c r="FX13" s="198" t="s">
        <v>174</v>
      </c>
      <c r="FY13" s="198" t="s">
        <v>175</v>
      </c>
      <c r="FZ13" s="198" t="s">
        <v>176</v>
      </c>
      <c r="GA13" s="198" t="s">
        <v>177</v>
      </c>
      <c r="GB13" s="198" t="s">
        <v>26</v>
      </c>
      <c r="GC13" s="198" t="s">
        <v>179</v>
      </c>
      <c r="GD13" s="198" t="s">
        <v>180</v>
      </c>
      <c r="GE13" s="198">
        <v>12430</v>
      </c>
      <c r="GF13" s="198" t="s">
        <v>182</v>
      </c>
      <c r="GG13" s="198" t="s">
        <v>178</v>
      </c>
      <c r="GH13" s="198" t="s">
        <v>90</v>
      </c>
      <c r="GI13" s="198" t="s">
        <v>90</v>
      </c>
      <c r="GJ13" s="198" t="s">
        <v>98</v>
      </c>
      <c r="GK13" s="198" t="s">
        <v>257</v>
      </c>
      <c r="GL13" s="198" t="s">
        <v>258</v>
      </c>
      <c r="GM13" s="198" t="s">
        <v>589</v>
      </c>
      <c r="GN13" s="198" t="s">
        <v>175</v>
      </c>
      <c r="GO13" s="192" t="s">
        <v>181</v>
      </c>
      <c r="GP13" s="198" t="s">
        <v>866</v>
      </c>
      <c r="GQ13" s="198"/>
      <c r="GR13" s="198">
        <v>5238528</v>
      </c>
      <c r="GS13" s="198" t="s">
        <v>185</v>
      </c>
      <c r="GT13" s="198" t="s">
        <v>749</v>
      </c>
      <c r="GU13" s="198" t="s">
        <v>200</v>
      </c>
      <c r="GV13" s="198" t="s">
        <v>201</v>
      </c>
      <c r="GW13" s="198" t="s">
        <v>201</v>
      </c>
      <c r="GX13" s="198" t="s">
        <v>393</v>
      </c>
      <c r="GY13" s="198"/>
      <c r="GZ13" s="198" t="s">
        <v>149</v>
      </c>
      <c r="HA13" s="198">
        <v>2023</v>
      </c>
      <c r="HB13" s="198" t="s">
        <v>202</v>
      </c>
      <c r="HC13" s="198" t="s">
        <v>203</v>
      </c>
      <c r="HD13" s="198" t="s">
        <v>175</v>
      </c>
      <c r="HE13" s="198" t="s">
        <v>204</v>
      </c>
      <c r="HF13" s="192" t="s">
        <v>179</v>
      </c>
      <c r="HG13" s="198" t="s">
        <v>907</v>
      </c>
      <c r="HH13" s="198" t="s">
        <v>953</v>
      </c>
      <c r="HI13" s="198" t="s">
        <v>955</v>
      </c>
      <c r="HJ13" s="198">
        <v>5000000</v>
      </c>
      <c r="HK13" s="198" t="s">
        <v>318</v>
      </c>
      <c r="HL13" s="198" t="s">
        <v>237</v>
      </c>
      <c r="HM13" s="198">
        <v>15</v>
      </c>
      <c r="HN13" s="198">
        <v>0</v>
      </c>
      <c r="HO13" s="198" t="s">
        <v>615</v>
      </c>
      <c r="HP13" s="198" t="s">
        <v>791</v>
      </c>
      <c r="HQ13" s="198" t="s">
        <v>750</v>
      </c>
      <c r="HR13" s="198" t="s">
        <v>613</v>
      </c>
      <c r="HS13" s="198" t="s">
        <v>614</v>
      </c>
      <c r="HT13" s="198" t="s">
        <v>805</v>
      </c>
      <c r="HU13" s="198">
        <v>250000000</v>
      </c>
      <c r="HV13" s="198">
        <v>10</v>
      </c>
      <c r="HW13" s="198"/>
      <c r="HX13" s="198">
        <v>24</v>
      </c>
      <c r="HY13" s="200" t="s">
        <v>806</v>
      </c>
      <c r="HZ13" s="200" t="s">
        <v>807</v>
      </c>
      <c r="IA13" s="198">
        <v>1000000</v>
      </c>
      <c r="IB13" s="198">
        <v>750000</v>
      </c>
      <c r="IC13" s="198" t="s">
        <v>391</v>
      </c>
      <c r="ID13" s="198" t="s">
        <v>233</v>
      </c>
      <c r="IE13" s="198" t="s">
        <v>233</v>
      </c>
      <c r="IF13" s="198"/>
      <c r="IG13" s="198" t="s">
        <v>318</v>
      </c>
      <c r="IH13" s="198" t="s">
        <v>597</v>
      </c>
      <c r="II13" s="198"/>
      <c r="IK13" s="198" t="s">
        <v>233</v>
      </c>
      <c r="IL13" s="198"/>
      <c r="IM13" s="198"/>
      <c r="IN13" s="198"/>
      <c r="IO13" s="198" t="s">
        <v>241</v>
      </c>
      <c r="IP13" s="198" t="s">
        <v>790</v>
      </c>
      <c r="IQ13" s="198">
        <v>24</v>
      </c>
      <c r="IR13" s="198" t="s">
        <v>243</v>
      </c>
      <c r="IS13" s="198" t="s">
        <v>233</v>
      </c>
      <c r="IT13" s="198" t="s">
        <v>244</v>
      </c>
      <c r="IU13" s="198" t="s">
        <v>233</v>
      </c>
      <c r="IV13" s="198" t="s">
        <v>237</v>
      </c>
      <c r="IW13" s="192" t="s">
        <v>233</v>
      </c>
      <c r="IX13" s="217" t="s">
        <v>850</v>
      </c>
      <c r="IY13" s="198" t="s">
        <v>248</v>
      </c>
      <c r="IZ13" s="198" t="s">
        <v>250</v>
      </c>
      <c r="JA13" s="192" t="s">
        <v>250</v>
      </c>
      <c r="JB13" s="198">
        <v>120100</v>
      </c>
      <c r="JC13" s="198" t="s">
        <v>501</v>
      </c>
      <c r="JD13" s="198">
        <v>12430</v>
      </c>
      <c r="JE13" s="198" t="s">
        <v>508</v>
      </c>
      <c r="JF13" s="198" t="s">
        <v>519</v>
      </c>
      <c r="JG13" s="198" t="s">
        <v>511</v>
      </c>
      <c r="JH13" s="198" t="s">
        <v>513</v>
      </c>
      <c r="JI13" s="198" t="s">
        <v>515</v>
      </c>
      <c r="JJ13" s="198" t="s">
        <v>517</v>
      </c>
      <c r="JK13" s="192" t="s">
        <v>105</v>
      </c>
    </row>
    <row r="14" spans="1:271" s="213" customFormat="1" x14ac:dyDescent="0.35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198" t="s">
        <v>82</v>
      </c>
      <c r="CY14" s="209" t="s">
        <v>0</v>
      </c>
      <c r="CZ14" s="211" t="s">
        <v>798</v>
      </c>
      <c r="DA14" s="211"/>
      <c r="DB14" s="209" t="s">
        <v>94</v>
      </c>
      <c r="DC14" s="209" t="s">
        <v>98</v>
      </c>
      <c r="DD14" s="209" t="s">
        <v>101</v>
      </c>
      <c r="DE14" s="209" t="s">
        <v>102</v>
      </c>
      <c r="DF14" s="209"/>
      <c r="DG14" s="209"/>
      <c r="DH14" s="209"/>
      <c r="DI14" s="209"/>
      <c r="DJ14" s="209"/>
      <c r="DK14" s="209"/>
      <c r="DL14" s="209"/>
      <c r="DM14" s="209" t="s">
        <v>103</v>
      </c>
      <c r="DN14" s="209">
        <v>2000</v>
      </c>
      <c r="DO14" s="209" t="s">
        <v>104</v>
      </c>
      <c r="DP14" s="209">
        <v>10000000</v>
      </c>
      <c r="DQ14" s="209" t="s">
        <v>98</v>
      </c>
      <c r="DR14" s="209"/>
      <c r="DS14" s="209"/>
      <c r="DT14" s="209"/>
      <c r="DU14" s="209">
        <v>30000000</v>
      </c>
      <c r="DV14" s="209"/>
      <c r="DW14" s="209"/>
      <c r="DX14" s="209"/>
      <c r="DY14" s="209"/>
      <c r="DZ14" s="209"/>
      <c r="EA14" s="209"/>
      <c r="EB14" s="209"/>
      <c r="EC14" s="209" t="s">
        <v>105</v>
      </c>
      <c r="ED14" s="209" t="s">
        <v>109</v>
      </c>
      <c r="EE14" s="209" t="s">
        <v>132</v>
      </c>
      <c r="EF14" s="209">
        <v>1111222205</v>
      </c>
      <c r="EG14" s="209" t="str">
        <f t="shared" ref="EG14" si="5">C14</f>
        <v>KONSUMEN I</v>
      </c>
      <c r="EH14" s="209" t="s">
        <v>114</v>
      </c>
      <c r="EI14" s="209" t="s">
        <v>78</v>
      </c>
      <c r="EJ14" s="209"/>
      <c r="EK14" s="209"/>
      <c r="EL14" s="209"/>
      <c r="EM14" s="209"/>
      <c r="EN14" s="209"/>
      <c r="EO14" s="209"/>
      <c r="EP14" s="209"/>
      <c r="EQ14" s="209" t="s">
        <v>501</v>
      </c>
      <c r="ER14" s="209"/>
      <c r="ES14" s="209"/>
      <c r="ET14" s="202" t="s">
        <v>133</v>
      </c>
      <c r="EU14" s="209" t="s">
        <v>683</v>
      </c>
      <c r="EV14" s="209" t="s">
        <v>802</v>
      </c>
      <c r="EW14" s="209" t="s">
        <v>243</v>
      </c>
      <c r="EX14" s="209"/>
      <c r="EY14" s="209" t="s">
        <v>83</v>
      </c>
      <c r="EZ14" s="209">
        <v>10</v>
      </c>
      <c r="FA14" s="209">
        <v>1</v>
      </c>
      <c r="FB14" s="209">
        <v>10000000</v>
      </c>
      <c r="FC14" s="211" t="s">
        <v>685</v>
      </c>
      <c r="FD14" s="202">
        <v>1122333</v>
      </c>
      <c r="FE14" s="234"/>
      <c r="FF14" s="234"/>
      <c r="FG14" s="234"/>
      <c r="FH14" s="234"/>
      <c r="FI14" s="236">
        <v>13</v>
      </c>
      <c r="FJ14" s="236"/>
      <c r="FK14" s="236">
        <v>2</v>
      </c>
      <c r="FL14" s="234"/>
      <c r="FM14" s="234"/>
      <c r="FN14" s="234"/>
      <c r="FO14" s="234"/>
      <c r="FP14" s="234"/>
      <c r="FQ14" s="234"/>
      <c r="FR14" s="209" t="s">
        <v>170</v>
      </c>
      <c r="FS14" s="209" t="s">
        <v>171</v>
      </c>
      <c r="FT14" s="209" t="s">
        <v>172</v>
      </c>
      <c r="FU14" s="209">
        <v>735947227</v>
      </c>
      <c r="FV14" s="209" t="s">
        <v>173</v>
      </c>
      <c r="FW14" s="209">
        <v>59185</v>
      </c>
      <c r="FX14" s="209" t="s">
        <v>174</v>
      </c>
      <c r="FY14" s="209" t="s">
        <v>175</v>
      </c>
      <c r="FZ14" s="209" t="s">
        <v>176</v>
      </c>
      <c r="GA14" s="209" t="s">
        <v>177</v>
      </c>
      <c r="GB14" s="209" t="s">
        <v>26</v>
      </c>
      <c r="GC14" s="209" t="s">
        <v>179</v>
      </c>
      <c r="GD14" s="209" t="s">
        <v>180</v>
      </c>
      <c r="GE14" s="209">
        <v>12430</v>
      </c>
      <c r="GF14" s="209" t="s">
        <v>182</v>
      </c>
      <c r="GG14" s="209" t="s">
        <v>178</v>
      </c>
      <c r="GH14" s="209" t="s">
        <v>90</v>
      </c>
      <c r="GI14" s="209" t="s">
        <v>90</v>
      </c>
      <c r="GJ14" s="209" t="s">
        <v>98</v>
      </c>
      <c r="GK14" s="209" t="s">
        <v>257</v>
      </c>
      <c r="GL14" s="209" t="s">
        <v>258</v>
      </c>
      <c r="GM14" s="209" t="s">
        <v>589</v>
      </c>
      <c r="GN14" s="209" t="s">
        <v>175</v>
      </c>
      <c r="GO14" s="202" t="s">
        <v>181</v>
      </c>
      <c r="GP14" s="209" t="s">
        <v>866</v>
      </c>
      <c r="GQ14" s="209"/>
      <c r="GR14" s="209">
        <v>5238528</v>
      </c>
      <c r="GS14" s="209" t="s">
        <v>185</v>
      </c>
      <c r="GT14" s="209" t="s">
        <v>749</v>
      </c>
      <c r="GU14" s="209" t="s">
        <v>200</v>
      </c>
      <c r="GV14" s="209" t="s">
        <v>201</v>
      </c>
      <c r="GW14" s="209" t="s">
        <v>201</v>
      </c>
      <c r="GX14" s="209" t="s">
        <v>393</v>
      </c>
      <c r="GY14" s="209"/>
      <c r="GZ14" s="209" t="s">
        <v>149</v>
      </c>
      <c r="HA14" s="209">
        <v>2023</v>
      </c>
      <c r="HB14" s="209" t="s">
        <v>202</v>
      </c>
      <c r="HC14" s="209" t="s">
        <v>203</v>
      </c>
      <c r="HD14" s="209" t="s">
        <v>175</v>
      </c>
      <c r="HE14" s="209" t="s">
        <v>204</v>
      </c>
      <c r="HF14" s="202" t="s">
        <v>179</v>
      </c>
      <c r="HG14" s="198" t="s">
        <v>907</v>
      </c>
      <c r="HH14" s="209" t="s">
        <v>953</v>
      </c>
      <c r="HI14" s="198" t="s">
        <v>954</v>
      </c>
      <c r="HJ14" s="209">
        <v>6000000</v>
      </c>
      <c r="HK14" s="209" t="s">
        <v>318</v>
      </c>
      <c r="HL14" s="209" t="s">
        <v>237</v>
      </c>
      <c r="HM14" s="209">
        <v>15</v>
      </c>
      <c r="HN14" s="209">
        <v>0</v>
      </c>
      <c r="HO14" s="209" t="s">
        <v>615</v>
      </c>
      <c r="HP14" s="198" t="s">
        <v>791</v>
      </c>
      <c r="HQ14" s="209" t="s">
        <v>750</v>
      </c>
      <c r="HR14" s="209" t="s">
        <v>613</v>
      </c>
      <c r="HS14" s="209" t="s">
        <v>614</v>
      </c>
      <c r="HT14" s="209" t="s">
        <v>805</v>
      </c>
      <c r="HU14" s="209">
        <v>250000000</v>
      </c>
      <c r="HV14" s="209">
        <v>10</v>
      </c>
      <c r="HW14" s="209"/>
      <c r="HX14" s="209">
        <v>24</v>
      </c>
      <c r="HY14" s="211" t="s">
        <v>806</v>
      </c>
      <c r="HZ14" s="211" t="s">
        <v>807</v>
      </c>
      <c r="IA14" s="209">
        <v>1000000</v>
      </c>
      <c r="IB14" s="209">
        <v>750000</v>
      </c>
      <c r="IC14" s="209" t="s">
        <v>391</v>
      </c>
      <c r="ID14" s="209" t="s">
        <v>233</v>
      </c>
      <c r="IE14" s="209" t="s">
        <v>233</v>
      </c>
      <c r="IF14" s="209"/>
      <c r="IG14" s="209" t="s">
        <v>318</v>
      </c>
      <c r="IH14" s="209" t="s">
        <v>597</v>
      </c>
      <c r="II14" s="209"/>
      <c r="IK14" s="209" t="s">
        <v>233</v>
      </c>
      <c r="IL14" s="209"/>
      <c r="IM14" s="209"/>
      <c r="IN14" s="209"/>
      <c r="IO14" s="198" t="s">
        <v>241</v>
      </c>
      <c r="IP14" s="209" t="s">
        <v>790</v>
      </c>
      <c r="IQ14" s="209">
        <v>24</v>
      </c>
      <c r="IR14" s="198" t="s">
        <v>243</v>
      </c>
      <c r="IS14" s="209" t="s">
        <v>233</v>
      </c>
      <c r="IT14" s="209" t="s">
        <v>244</v>
      </c>
      <c r="IU14" s="209" t="s">
        <v>233</v>
      </c>
      <c r="IV14" s="209" t="s">
        <v>237</v>
      </c>
      <c r="IW14" s="202" t="s">
        <v>233</v>
      </c>
      <c r="IX14" s="212" t="s">
        <v>850</v>
      </c>
      <c r="IY14" s="209" t="s">
        <v>248</v>
      </c>
      <c r="IZ14" s="209" t="s">
        <v>250</v>
      </c>
      <c r="JA14" s="202" t="s">
        <v>250</v>
      </c>
      <c r="JB14" s="209">
        <v>120100</v>
      </c>
      <c r="JC14" s="209" t="s">
        <v>501</v>
      </c>
      <c r="JD14" s="209">
        <v>12430</v>
      </c>
      <c r="JE14" s="209" t="s">
        <v>508</v>
      </c>
      <c r="JF14" s="209" t="s">
        <v>519</v>
      </c>
      <c r="JG14" s="209" t="s">
        <v>511</v>
      </c>
      <c r="JH14" s="209" t="s">
        <v>513</v>
      </c>
      <c r="JI14" s="209" t="s">
        <v>515</v>
      </c>
      <c r="JJ14" s="209" t="s">
        <v>517</v>
      </c>
      <c r="JK14" s="202" t="s">
        <v>105</v>
      </c>
    </row>
    <row r="15" spans="1:271" s="213" customFormat="1" x14ac:dyDescent="0.35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198" t="s">
        <v>82</v>
      </c>
      <c r="CY15" s="209" t="s">
        <v>0</v>
      </c>
      <c r="CZ15" s="211" t="s">
        <v>798</v>
      </c>
      <c r="DA15" s="211"/>
      <c r="DB15" s="209" t="s">
        <v>94</v>
      </c>
      <c r="DC15" s="209" t="s">
        <v>98</v>
      </c>
      <c r="DD15" s="209" t="s">
        <v>101</v>
      </c>
      <c r="DE15" s="209" t="s">
        <v>102</v>
      </c>
      <c r="DF15" s="209"/>
      <c r="DG15" s="209"/>
      <c r="DH15" s="209"/>
      <c r="DI15" s="209"/>
      <c r="DJ15" s="209"/>
      <c r="DK15" s="209"/>
      <c r="DL15" s="209"/>
      <c r="DM15" s="209" t="s">
        <v>103</v>
      </c>
      <c r="DN15" s="209">
        <v>2000</v>
      </c>
      <c r="DO15" s="209" t="s">
        <v>104</v>
      </c>
      <c r="DP15" s="209">
        <v>10000000</v>
      </c>
      <c r="DQ15" s="209" t="s">
        <v>98</v>
      </c>
      <c r="DR15" s="209"/>
      <c r="DS15" s="209"/>
      <c r="DT15" s="209"/>
      <c r="DU15" s="209">
        <v>30000000</v>
      </c>
      <c r="DV15" s="209"/>
      <c r="DW15" s="209"/>
      <c r="DX15" s="209"/>
      <c r="DY15" s="209"/>
      <c r="DZ15" s="209"/>
      <c r="EA15" s="209"/>
      <c r="EB15" s="209"/>
      <c r="EC15" s="209" t="s">
        <v>105</v>
      </c>
      <c r="ED15" s="209" t="s">
        <v>109</v>
      </c>
      <c r="EE15" s="209" t="s">
        <v>132</v>
      </c>
      <c r="EF15" s="209">
        <v>1111222205</v>
      </c>
      <c r="EG15" s="209" t="str">
        <f t="shared" ref="EG15" si="6">C15</f>
        <v>KONSUMEN J</v>
      </c>
      <c r="EH15" s="209" t="s">
        <v>114</v>
      </c>
      <c r="EI15" s="209" t="s">
        <v>78</v>
      </c>
      <c r="EJ15" s="209"/>
      <c r="EK15" s="209"/>
      <c r="EL15" s="209"/>
      <c r="EM15" s="209"/>
      <c r="EN15" s="209"/>
      <c r="EO15" s="209"/>
      <c r="EP15" s="209"/>
      <c r="EQ15" s="209" t="s">
        <v>501</v>
      </c>
      <c r="ER15" s="209"/>
      <c r="ES15" s="209"/>
      <c r="ET15" s="202" t="s">
        <v>133</v>
      </c>
      <c r="EU15" s="209" t="s">
        <v>683</v>
      </c>
      <c r="EV15" s="209" t="s">
        <v>802</v>
      </c>
      <c r="EW15" s="209" t="s">
        <v>243</v>
      </c>
      <c r="EX15" s="209"/>
      <c r="EY15" s="209" t="s">
        <v>83</v>
      </c>
      <c r="EZ15" s="209">
        <v>10</v>
      </c>
      <c r="FA15" s="209">
        <v>1</v>
      </c>
      <c r="FB15" s="209">
        <v>10000000</v>
      </c>
      <c r="FC15" s="211" t="s">
        <v>685</v>
      </c>
      <c r="FD15" s="202">
        <v>1122333</v>
      </c>
      <c r="FE15" s="234"/>
      <c r="FF15" s="234"/>
      <c r="FG15" s="234"/>
      <c r="FH15" s="234"/>
      <c r="FI15" s="236">
        <v>14</v>
      </c>
      <c r="FJ15" s="236"/>
      <c r="FK15" s="236">
        <v>3</v>
      </c>
      <c r="FL15" s="234"/>
      <c r="FM15" s="234"/>
      <c r="FN15" s="234"/>
      <c r="FO15" s="234"/>
      <c r="FP15" s="234"/>
      <c r="FQ15" s="234"/>
      <c r="FR15" s="209" t="s">
        <v>170</v>
      </c>
      <c r="FS15" s="209" t="s">
        <v>171</v>
      </c>
      <c r="FT15" s="209" t="s">
        <v>172</v>
      </c>
      <c r="FU15" s="209">
        <v>735947227</v>
      </c>
      <c r="FV15" s="209" t="s">
        <v>173</v>
      </c>
      <c r="FW15" s="209">
        <v>59185</v>
      </c>
      <c r="FX15" s="209" t="s">
        <v>174</v>
      </c>
      <c r="FY15" s="209" t="s">
        <v>175</v>
      </c>
      <c r="FZ15" s="209" t="s">
        <v>176</v>
      </c>
      <c r="GA15" s="209" t="s">
        <v>177</v>
      </c>
      <c r="GB15" s="209" t="s">
        <v>26</v>
      </c>
      <c r="GC15" s="209" t="s">
        <v>179</v>
      </c>
      <c r="GD15" s="209" t="s">
        <v>180</v>
      </c>
      <c r="GE15" s="209">
        <v>12430</v>
      </c>
      <c r="GF15" s="209" t="s">
        <v>182</v>
      </c>
      <c r="GG15" s="209" t="s">
        <v>178</v>
      </c>
      <c r="GH15" s="209" t="s">
        <v>90</v>
      </c>
      <c r="GI15" s="209" t="s">
        <v>90</v>
      </c>
      <c r="GJ15" s="209" t="s">
        <v>98</v>
      </c>
      <c r="GK15" s="209" t="s">
        <v>257</v>
      </c>
      <c r="GL15" s="209" t="s">
        <v>258</v>
      </c>
      <c r="GM15" s="209" t="s">
        <v>589</v>
      </c>
      <c r="GN15" s="209" t="s">
        <v>175</v>
      </c>
      <c r="GO15" s="202" t="s">
        <v>181</v>
      </c>
      <c r="GP15" s="209" t="s">
        <v>866</v>
      </c>
      <c r="GQ15" s="209"/>
      <c r="GR15" s="209">
        <v>5238528</v>
      </c>
      <c r="GS15" s="209" t="s">
        <v>185</v>
      </c>
      <c r="GT15" s="209" t="s">
        <v>749</v>
      </c>
      <c r="GU15" s="209" t="s">
        <v>200</v>
      </c>
      <c r="GV15" s="209" t="s">
        <v>201</v>
      </c>
      <c r="GW15" s="209" t="s">
        <v>201</v>
      </c>
      <c r="GX15" s="209" t="s">
        <v>393</v>
      </c>
      <c r="GY15" s="209"/>
      <c r="GZ15" s="209" t="s">
        <v>149</v>
      </c>
      <c r="HA15" s="209">
        <v>2023</v>
      </c>
      <c r="HB15" s="209" t="s">
        <v>202</v>
      </c>
      <c r="HC15" s="209" t="s">
        <v>203</v>
      </c>
      <c r="HD15" s="209" t="s">
        <v>175</v>
      </c>
      <c r="HE15" s="209" t="s">
        <v>204</v>
      </c>
      <c r="HF15" s="202" t="s">
        <v>179</v>
      </c>
      <c r="HG15" s="198" t="s">
        <v>907</v>
      </c>
      <c r="HH15" s="209" t="s">
        <v>953</v>
      </c>
      <c r="HI15" s="198">
        <v>7892</v>
      </c>
      <c r="HJ15" s="209">
        <v>6000000</v>
      </c>
      <c r="HK15" s="209" t="s">
        <v>318</v>
      </c>
      <c r="HL15" s="209" t="s">
        <v>237</v>
      </c>
      <c r="HM15" s="209">
        <v>15</v>
      </c>
      <c r="HN15" s="209">
        <v>0</v>
      </c>
      <c r="HO15" s="209" t="s">
        <v>615</v>
      </c>
      <c r="HP15" s="198" t="s">
        <v>791</v>
      </c>
      <c r="HQ15" s="209" t="s">
        <v>750</v>
      </c>
      <c r="HR15" s="209" t="s">
        <v>613</v>
      </c>
      <c r="HS15" s="209" t="s">
        <v>614</v>
      </c>
      <c r="HT15" s="209" t="s">
        <v>805</v>
      </c>
      <c r="HU15" s="209">
        <v>250000000</v>
      </c>
      <c r="HV15" s="209">
        <v>10</v>
      </c>
      <c r="HW15" s="209"/>
      <c r="HX15" s="209">
        <v>24</v>
      </c>
      <c r="HY15" s="211" t="s">
        <v>806</v>
      </c>
      <c r="HZ15" s="211" t="s">
        <v>807</v>
      </c>
      <c r="IA15" s="209">
        <v>1000000</v>
      </c>
      <c r="IB15" s="209">
        <v>750000</v>
      </c>
      <c r="IC15" s="209" t="s">
        <v>391</v>
      </c>
      <c r="ID15" s="209" t="s">
        <v>233</v>
      </c>
      <c r="IE15" s="209" t="s">
        <v>233</v>
      </c>
      <c r="IF15" s="209"/>
      <c r="IG15" s="209" t="s">
        <v>318</v>
      </c>
      <c r="IH15" s="209" t="s">
        <v>597</v>
      </c>
      <c r="II15" s="209"/>
      <c r="IK15" s="209" t="s">
        <v>233</v>
      </c>
      <c r="IL15" s="209"/>
      <c r="IM15" s="209"/>
      <c r="IN15" s="209"/>
      <c r="IO15" s="198" t="s">
        <v>241</v>
      </c>
      <c r="IP15" s="209" t="s">
        <v>790</v>
      </c>
      <c r="IQ15" s="209">
        <v>24</v>
      </c>
      <c r="IR15" s="198" t="s">
        <v>243</v>
      </c>
      <c r="IS15" s="209" t="s">
        <v>233</v>
      </c>
      <c r="IT15" s="209" t="s">
        <v>244</v>
      </c>
      <c r="IU15" s="209" t="s">
        <v>233</v>
      </c>
      <c r="IV15" s="209" t="s">
        <v>237</v>
      </c>
      <c r="IW15" s="202" t="s">
        <v>233</v>
      </c>
      <c r="IX15" s="212" t="s">
        <v>850</v>
      </c>
      <c r="IY15" s="209" t="s">
        <v>248</v>
      </c>
      <c r="IZ15" s="209" t="s">
        <v>250</v>
      </c>
      <c r="JA15" s="202" t="s">
        <v>250</v>
      </c>
      <c r="JB15" s="209">
        <v>120100</v>
      </c>
      <c r="JC15" s="209" t="s">
        <v>501</v>
      </c>
      <c r="JD15" s="209">
        <v>12430</v>
      </c>
      <c r="JE15" s="209" t="s">
        <v>508</v>
      </c>
      <c r="JF15" s="209" t="s">
        <v>519</v>
      </c>
      <c r="JG15" s="209" t="s">
        <v>511</v>
      </c>
      <c r="JH15" s="209" t="s">
        <v>513</v>
      </c>
      <c r="JI15" s="209" t="s">
        <v>515</v>
      </c>
      <c r="JJ15" s="209" t="s">
        <v>517</v>
      </c>
      <c r="JK15" s="202" t="s">
        <v>105</v>
      </c>
    </row>
    <row r="16" spans="1:271" s="231" customFormat="1" x14ac:dyDescent="0.35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198" t="s">
        <v>82</v>
      </c>
      <c r="CY16" s="225" t="s">
        <v>0</v>
      </c>
      <c r="CZ16" s="228" t="s">
        <v>798</v>
      </c>
      <c r="DA16" s="228"/>
      <c r="DB16" s="225" t="s">
        <v>94</v>
      </c>
      <c r="DC16" s="225" t="s">
        <v>98</v>
      </c>
      <c r="DD16" s="225" t="s">
        <v>101</v>
      </c>
      <c r="DE16" s="225" t="s">
        <v>102</v>
      </c>
      <c r="DF16" s="225"/>
      <c r="DG16" s="225"/>
      <c r="DH16" s="225"/>
      <c r="DI16" s="225"/>
      <c r="DJ16" s="225"/>
      <c r="DK16" s="225"/>
      <c r="DL16" s="225"/>
      <c r="DM16" s="225" t="s">
        <v>103</v>
      </c>
      <c r="DN16" s="225">
        <v>2000</v>
      </c>
      <c r="DO16" s="225" t="s">
        <v>104</v>
      </c>
      <c r="DP16" s="225">
        <v>10000000</v>
      </c>
      <c r="DQ16" s="225" t="s">
        <v>98</v>
      </c>
      <c r="DR16" s="225"/>
      <c r="DS16" s="225"/>
      <c r="DT16" s="225"/>
      <c r="DU16" s="225">
        <v>30000000</v>
      </c>
      <c r="DV16" s="225"/>
      <c r="DW16" s="225"/>
      <c r="DX16" s="225"/>
      <c r="DY16" s="225"/>
      <c r="DZ16" s="225"/>
      <c r="EA16" s="225"/>
      <c r="EB16" s="225"/>
      <c r="EC16" s="225" t="s">
        <v>105</v>
      </c>
      <c r="ED16" s="225" t="s">
        <v>109</v>
      </c>
      <c r="EE16" s="225" t="s">
        <v>132</v>
      </c>
      <c r="EF16" s="225">
        <v>1111222205</v>
      </c>
      <c r="EG16" s="225" t="str">
        <f t="shared" ref="EG16" si="7">C16</f>
        <v>KONSUMEN K</v>
      </c>
      <c r="EH16" s="225" t="s">
        <v>114</v>
      </c>
      <c r="EI16" s="225" t="s">
        <v>78</v>
      </c>
      <c r="EJ16" s="225"/>
      <c r="EK16" s="225"/>
      <c r="EL16" s="225"/>
      <c r="EM16" s="225"/>
      <c r="EN16" s="225"/>
      <c r="EO16" s="225"/>
      <c r="EP16" s="225"/>
      <c r="EQ16" s="225" t="s">
        <v>501</v>
      </c>
      <c r="ER16" s="225"/>
      <c r="ES16" s="225"/>
      <c r="ET16" s="219" t="s">
        <v>133</v>
      </c>
      <c r="EU16" s="225" t="s">
        <v>683</v>
      </c>
      <c r="EV16" s="225" t="s">
        <v>802</v>
      </c>
      <c r="EW16" s="225" t="s">
        <v>243</v>
      </c>
      <c r="EX16" s="225"/>
      <c r="EY16" s="225" t="s">
        <v>83</v>
      </c>
      <c r="EZ16" s="225">
        <v>10</v>
      </c>
      <c r="FA16" s="225">
        <v>1</v>
      </c>
      <c r="FB16" s="225">
        <v>10000000</v>
      </c>
      <c r="FC16" s="228" t="s">
        <v>685</v>
      </c>
      <c r="FD16" s="219">
        <v>1122333</v>
      </c>
      <c r="FE16" s="225"/>
      <c r="FF16" s="225"/>
      <c r="FG16" s="225"/>
      <c r="FH16" s="225"/>
      <c r="FI16" s="237">
        <v>15</v>
      </c>
      <c r="FJ16" s="237"/>
      <c r="FK16" s="237">
        <v>2</v>
      </c>
      <c r="FL16" s="225"/>
      <c r="FM16" s="225"/>
      <c r="FN16" s="225"/>
      <c r="FO16" s="225"/>
      <c r="FP16" s="225"/>
      <c r="FQ16" s="225"/>
      <c r="FR16" s="225" t="s">
        <v>170</v>
      </c>
      <c r="FS16" s="225" t="s">
        <v>171</v>
      </c>
      <c r="FT16" s="225" t="s">
        <v>172</v>
      </c>
      <c r="FU16" s="225">
        <v>735947227</v>
      </c>
      <c r="FV16" s="225" t="s">
        <v>173</v>
      </c>
      <c r="FW16" s="225">
        <v>59185</v>
      </c>
      <c r="FX16" s="225" t="s">
        <v>174</v>
      </c>
      <c r="FY16" s="225" t="s">
        <v>175</v>
      </c>
      <c r="FZ16" s="225" t="s">
        <v>176</v>
      </c>
      <c r="GA16" s="225" t="s">
        <v>177</v>
      </c>
      <c r="GB16" s="225" t="s">
        <v>26</v>
      </c>
      <c r="GC16" s="225" t="s">
        <v>179</v>
      </c>
      <c r="GD16" s="225" t="s">
        <v>180</v>
      </c>
      <c r="GE16" s="225">
        <v>12430</v>
      </c>
      <c r="GF16" s="225" t="s">
        <v>182</v>
      </c>
      <c r="GG16" s="225" t="s">
        <v>178</v>
      </c>
      <c r="GH16" s="225" t="s">
        <v>90</v>
      </c>
      <c r="GI16" s="225" t="s">
        <v>90</v>
      </c>
      <c r="GJ16" s="225" t="s">
        <v>98</v>
      </c>
      <c r="GK16" s="225" t="s">
        <v>257</v>
      </c>
      <c r="GL16" s="225" t="s">
        <v>258</v>
      </c>
      <c r="GM16" s="225" t="s">
        <v>589</v>
      </c>
      <c r="GN16" s="225" t="s">
        <v>175</v>
      </c>
      <c r="GO16" s="219" t="s">
        <v>181</v>
      </c>
      <c r="GP16" s="225" t="s">
        <v>866</v>
      </c>
      <c r="GQ16" s="225"/>
      <c r="GR16" s="225">
        <v>5238528</v>
      </c>
      <c r="GS16" s="225" t="s">
        <v>185</v>
      </c>
      <c r="GT16" s="225" t="s">
        <v>749</v>
      </c>
      <c r="GU16" s="225" t="s">
        <v>200</v>
      </c>
      <c r="GV16" s="225" t="s">
        <v>201</v>
      </c>
      <c r="GW16" s="225" t="s">
        <v>201</v>
      </c>
      <c r="GX16" s="225" t="s">
        <v>393</v>
      </c>
      <c r="GY16" s="225"/>
      <c r="GZ16" s="225" t="s">
        <v>149</v>
      </c>
      <c r="HA16" s="225">
        <v>2023</v>
      </c>
      <c r="HB16" s="225" t="s">
        <v>202</v>
      </c>
      <c r="HC16" s="225" t="s">
        <v>203</v>
      </c>
      <c r="HD16" s="225" t="s">
        <v>175</v>
      </c>
      <c r="HE16" s="225" t="s">
        <v>204</v>
      </c>
      <c r="HF16" s="219" t="s">
        <v>179</v>
      </c>
      <c r="HG16" s="225" t="s">
        <v>907</v>
      </c>
      <c r="HH16" s="225" t="s">
        <v>953</v>
      </c>
      <c r="HI16" s="239" t="s">
        <v>955</v>
      </c>
      <c r="HJ16" s="225">
        <v>6000000</v>
      </c>
      <c r="HK16" s="225" t="s">
        <v>318</v>
      </c>
      <c r="HL16" s="225" t="s">
        <v>237</v>
      </c>
      <c r="HM16" s="225">
        <v>15</v>
      </c>
      <c r="HN16" s="225">
        <v>0</v>
      </c>
      <c r="HO16" s="225" t="s">
        <v>615</v>
      </c>
      <c r="HP16" s="198" t="s">
        <v>791</v>
      </c>
      <c r="HQ16" s="225" t="s">
        <v>750</v>
      </c>
      <c r="HR16" s="225" t="s">
        <v>613</v>
      </c>
      <c r="HS16" s="225" t="s">
        <v>614</v>
      </c>
      <c r="HT16" s="225" t="s">
        <v>805</v>
      </c>
      <c r="HU16" s="225">
        <v>250000000</v>
      </c>
      <c r="HV16" s="225">
        <v>10</v>
      </c>
      <c r="HW16" s="225"/>
      <c r="HX16" s="225">
        <v>24</v>
      </c>
      <c r="HY16" s="228" t="s">
        <v>806</v>
      </c>
      <c r="HZ16" s="228" t="s">
        <v>807</v>
      </c>
      <c r="IA16" s="225">
        <v>1000000</v>
      </c>
      <c r="IB16" s="225">
        <v>750000</v>
      </c>
      <c r="IC16" s="225" t="s">
        <v>391</v>
      </c>
      <c r="ID16" s="225" t="s">
        <v>233</v>
      </c>
      <c r="IE16" s="225" t="s">
        <v>233</v>
      </c>
      <c r="IF16" s="225"/>
      <c r="IG16" s="225" t="s">
        <v>318</v>
      </c>
      <c r="IH16" s="225" t="s">
        <v>597</v>
      </c>
      <c r="II16" s="225"/>
      <c r="IK16" s="225" t="s">
        <v>233</v>
      </c>
      <c r="IL16" s="225"/>
      <c r="IM16" s="225"/>
      <c r="IN16" s="225"/>
      <c r="IO16" s="198" t="s">
        <v>241</v>
      </c>
      <c r="IP16" s="225" t="s">
        <v>790</v>
      </c>
      <c r="IQ16" s="225">
        <v>24</v>
      </c>
      <c r="IR16" s="198" t="s">
        <v>243</v>
      </c>
      <c r="IS16" s="225" t="s">
        <v>233</v>
      </c>
      <c r="IT16" s="225" t="s">
        <v>244</v>
      </c>
      <c r="IU16" s="225" t="s">
        <v>233</v>
      </c>
      <c r="IV16" s="225" t="s">
        <v>237</v>
      </c>
      <c r="IW16" s="219" t="s">
        <v>233</v>
      </c>
      <c r="IX16" s="230" t="s">
        <v>850</v>
      </c>
      <c r="IY16" s="225" t="s">
        <v>248</v>
      </c>
      <c r="IZ16" s="225" t="s">
        <v>250</v>
      </c>
      <c r="JA16" s="219" t="s">
        <v>250</v>
      </c>
      <c r="JB16" s="225">
        <v>120100</v>
      </c>
      <c r="JC16" s="225" t="s">
        <v>501</v>
      </c>
      <c r="JD16" s="225">
        <v>12430</v>
      </c>
      <c r="JE16" s="225" t="s">
        <v>508</v>
      </c>
      <c r="JF16" s="225" t="s">
        <v>519</v>
      </c>
      <c r="JG16" s="225" t="s">
        <v>511</v>
      </c>
      <c r="JH16" s="225" t="s">
        <v>513</v>
      </c>
      <c r="JI16" s="225" t="s">
        <v>515</v>
      </c>
      <c r="JJ16" s="225" t="s">
        <v>517</v>
      </c>
      <c r="JK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  <hyperlink ref="EX2" r:id="rId24" xr:uid="{8FF3D1FC-4299-4B05-A973-255C9EFC51B1}"/>
  </hyperlinks>
  <pageMargins left="0.7" right="0.7" top="0.75" bottom="0.75" header="0.3" footer="0.3"/>
  <pageSetup orientation="portrait" horizontalDpi="360" verticalDpi="360" r:id="rId2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08984375" defaultRowHeight="14.5" x14ac:dyDescent="0.35"/>
  <cols>
    <col min="1" max="1" width="14.08984375" bestFit="1" customWidth="1"/>
    <col min="2" max="2" width="12.453125" bestFit="1" customWidth="1"/>
    <col min="3" max="3" width="18.08984375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22.5429687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22.453125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2.1796875" bestFit="1" customWidth="1"/>
    <col min="97" max="97" width="17.453125" customWidth="1"/>
    <col min="98" max="98" width="15" bestFit="1" customWidth="1"/>
    <col min="99" max="99" width="11.54296875" bestFit="1" customWidth="1"/>
    <col min="100" max="100" width="15" bestFit="1" customWidth="1"/>
    <col min="101" max="101" width="18.1796875" bestFit="1" customWidth="1"/>
    <col min="102" max="102" width="9.6328125" bestFit="1" customWidth="1"/>
    <col min="103" max="103" width="14" bestFit="1" customWidth="1"/>
    <col min="104" max="104" width="12.36328125" bestFit="1" customWidth="1"/>
    <col min="105" max="105" width="17.6328125" bestFit="1" customWidth="1"/>
    <col min="106" max="106" width="19.90625" bestFit="1" customWidth="1"/>
    <col min="107" max="107" width="26" bestFit="1" customWidth="1"/>
    <col min="108" max="108" width="12.81640625" bestFit="1" customWidth="1"/>
    <col min="109" max="109" width="19.6328125" bestFit="1" customWidth="1"/>
    <col min="110" max="110" width="18.81640625" bestFit="1" customWidth="1"/>
    <col min="111" max="111" width="11" bestFit="1" customWidth="1"/>
    <col min="112" max="112" width="12.453125" bestFit="1" customWidth="1"/>
    <col min="113" max="113" width="13.90625" bestFit="1" customWidth="1"/>
    <col min="114" max="114" width="21" bestFit="1" customWidth="1"/>
    <col min="115" max="115" width="15.453125" bestFit="1" customWidth="1"/>
    <col min="116" max="116" width="17.453125" bestFit="1" customWidth="1"/>
    <col min="117" max="117" width="17.1796875" bestFit="1" customWidth="1"/>
    <col min="118" max="118" width="15.81640625" bestFit="1" customWidth="1"/>
    <col min="119" max="119" width="25" bestFit="1" customWidth="1"/>
    <col min="120" max="120" width="14.453125" bestFit="1" customWidth="1"/>
    <col min="121" max="121" width="18.453125" bestFit="1" customWidth="1"/>
    <col min="122" max="122" width="19.453125" bestFit="1" customWidth="1"/>
    <col min="123" max="123" width="12.453125" bestFit="1" customWidth="1"/>
    <col min="124" max="124" width="12.08984375" bestFit="1" customWidth="1"/>
    <col min="125" max="125" width="12.81640625" bestFit="1" customWidth="1"/>
    <col min="126" max="126" width="12.1796875" bestFit="1" customWidth="1"/>
    <col min="127" max="127" width="19.54296875" bestFit="1" customWidth="1"/>
    <col min="128" max="128" width="11.08984375" bestFit="1" customWidth="1"/>
    <col min="129" max="129" width="15.6328125" bestFit="1" customWidth="1"/>
    <col min="130" max="130" width="13.90625" bestFit="1" customWidth="1"/>
    <col min="131" max="131" width="16.81640625" bestFit="1" customWidth="1"/>
    <col min="132" max="132" width="9" bestFit="1" customWidth="1"/>
    <col min="133" max="133" width="10" bestFit="1" customWidth="1"/>
    <col min="134" max="134" width="22.1796875" bestFit="1" customWidth="1"/>
    <col min="135" max="135" width="11.54296875" bestFit="1" customWidth="1"/>
    <col min="136" max="136" width="16" bestFit="1" customWidth="1"/>
    <col min="137" max="137" width="13.54296875" bestFit="1" customWidth="1"/>
    <col min="138" max="138" width="17.453125" bestFit="1" customWidth="1"/>
    <col min="139" max="139" width="19.453125" bestFit="1" customWidth="1"/>
    <col min="140" max="140" width="17.1796875" bestFit="1" customWidth="1"/>
    <col min="141" max="141" width="22.1796875" bestFit="1" customWidth="1"/>
    <col min="142" max="142" width="18.453125" bestFit="1" customWidth="1"/>
    <col min="143" max="143" width="19.81640625" bestFit="1" customWidth="1"/>
    <col min="144" max="144" width="16" bestFit="1" customWidth="1"/>
    <col min="145" max="145" width="23.36328125" bestFit="1" customWidth="1"/>
    <col min="146" max="146" width="28.08984375" bestFit="1" customWidth="1"/>
    <col min="147" max="147" width="23.453125" bestFit="1" customWidth="1"/>
    <col min="148" max="148" width="20.90625" bestFit="1" customWidth="1"/>
    <col min="149" max="149" width="25.81640625" bestFit="1" customWidth="1"/>
    <col min="150" max="150" width="23.6328125" bestFit="1" customWidth="1"/>
    <col min="151" max="151" width="24.36328125" bestFit="1" customWidth="1"/>
    <col min="152" max="152" width="13.54296875" bestFit="1" customWidth="1"/>
    <col min="153" max="153" width="18.36328125" bestFit="1" customWidth="1"/>
    <col min="154" max="154" width="19.08984375" bestFit="1" customWidth="1"/>
    <col min="155" max="155" width="10.36328125" bestFit="1" customWidth="1"/>
    <col min="156" max="156" width="11.08984375" bestFit="1" customWidth="1"/>
    <col min="157" max="157" width="19.6328125" bestFit="1" customWidth="1"/>
    <col min="158" max="158" width="14" bestFit="1" customWidth="1"/>
    <col min="159" max="159" width="9" bestFit="1" customWidth="1"/>
    <col min="160" max="160" width="8.90625" bestFit="1" customWidth="1"/>
    <col min="161" max="161" width="17.36328125" bestFit="1" customWidth="1"/>
    <col min="162" max="162" width="22.90625" bestFit="1" customWidth="1"/>
    <col min="163" max="163" width="8.90625" bestFit="1" customWidth="1"/>
    <col min="165" max="165" width="19.08984375" bestFit="1" customWidth="1"/>
    <col min="166" max="166" width="21.54296875" bestFit="1" customWidth="1"/>
    <col min="167" max="167" width="17.1796875" bestFit="1" customWidth="1"/>
    <col min="168" max="168" width="13.36328125" bestFit="1" customWidth="1"/>
    <col min="169" max="169" width="20.6328125" bestFit="1" customWidth="1"/>
    <col min="170" max="170" width="12.6328125" bestFit="1" customWidth="1"/>
    <col min="171" max="171" width="36.90625" bestFit="1" customWidth="1"/>
    <col min="172" max="172" width="31.08984375" bestFit="1" customWidth="1"/>
    <col min="173" max="173" width="10" bestFit="1" customWidth="1"/>
    <col min="174" max="174" width="21.36328125" bestFit="1" customWidth="1"/>
    <col min="175" max="175" width="20" bestFit="1" customWidth="1"/>
    <col min="176" max="176" width="31.08984375" bestFit="1" customWidth="1"/>
    <col min="177" max="177" width="12.36328125" bestFit="1" customWidth="1"/>
    <col min="178" max="178" width="11.54296875" bestFit="1" customWidth="1"/>
    <col min="179" max="179" width="11" bestFit="1" customWidth="1"/>
    <col min="180" max="180" width="14.90625" bestFit="1" customWidth="1"/>
    <col min="181" max="181" width="13.90625" bestFit="1" customWidth="1"/>
    <col min="182" max="182" width="11.6328125" bestFit="1" customWidth="1"/>
    <col min="183" max="183" width="13.6328125" bestFit="1" customWidth="1"/>
    <col min="184" max="184" width="12.90625" bestFit="1" customWidth="1"/>
    <col min="185" max="186" width="17" bestFit="1" customWidth="1"/>
    <col min="187" max="187" width="15.08984375" bestFit="1" customWidth="1"/>
    <col min="188" max="189" width="21.36328125" bestFit="1" customWidth="1"/>
    <col min="190" max="190" width="17.6328125" bestFit="1" customWidth="1"/>
    <col min="191" max="191" width="24.08984375" bestFit="1" customWidth="1"/>
    <col min="192" max="192" width="22.90625" bestFit="1" customWidth="1"/>
    <col min="193" max="193" width="15.08984375" bestFit="1" customWidth="1"/>
    <col min="194" max="194" width="20" bestFit="1" customWidth="1"/>
    <col min="195" max="195" width="24.90625" bestFit="1" customWidth="1"/>
    <col min="196" max="196" width="29" bestFit="1" customWidth="1"/>
    <col min="197" max="197" width="29" customWidth="1"/>
    <col min="198" max="198" width="34" bestFit="1" customWidth="1"/>
    <col min="199" max="199" width="29.08984375" bestFit="1" customWidth="1"/>
    <col min="200" max="200" width="22" bestFit="1" customWidth="1"/>
    <col min="201" max="201" width="22.36328125" bestFit="1" customWidth="1"/>
    <col min="202" max="202" width="6.81640625" bestFit="1" customWidth="1"/>
    <col min="203" max="203" width="23.36328125" bestFit="1" customWidth="1"/>
    <col min="204" max="204" width="146.90625" bestFit="1" customWidth="1"/>
    <col min="205" max="205" width="9.6328125" bestFit="1" customWidth="1"/>
    <col min="206" max="206" width="34.90625" bestFit="1" customWidth="1"/>
    <col min="207" max="207" width="23.54296875" bestFit="1" customWidth="1"/>
    <col min="208" max="208" width="16" bestFit="1" customWidth="1"/>
    <col min="209" max="209" width="18.90625" bestFit="1" customWidth="1"/>
    <col min="210" max="210" width="14.90625" bestFit="1" customWidth="1"/>
    <col min="211" max="211" width="22.81640625" bestFit="1" customWidth="1"/>
    <col min="212" max="212" width="23.90625" bestFit="1" customWidth="1"/>
    <col min="213" max="213" width="9" bestFit="1" customWidth="1"/>
    <col min="214" max="214" width="21.6328125" bestFit="1" customWidth="1"/>
    <col min="215" max="215" width="16.6328125" bestFit="1" customWidth="1"/>
    <col min="216" max="216" width="38.1796875" bestFit="1" customWidth="1"/>
    <col min="217" max="217" width="18.36328125" bestFit="1" customWidth="1"/>
  </cols>
  <sheetData>
    <row r="1" spans="1:217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5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5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5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5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5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5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5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5" x14ac:dyDescent="0.35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5" x14ac:dyDescent="0.35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5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5" x14ac:dyDescent="0.35"/>
  <cols>
    <col min="1" max="1" width="9.90625" bestFit="1" customWidth="1"/>
    <col min="2" max="2" width="17.54296875" customWidth="1"/>
    <col min="3" max="3" width="15" customWidth="1"/>
    <col min="4" max="4" width="17.36328125" bestFit="1" customWidth="1"/>
    <col min="5" max="6" width="17.36328125" customWidth="1"/>
    <col min="7" max="7" width="18" bestFit="1" customWidth="1"/>
    <col min="8" max="8" width="22.453125" bestFit="1" customWidth="1"/>
    <col min="9" max="9" width="12.54296875" customWidth="1"/>
    <col min="10" max="10" width="16.6328125" customWidth="1"/>
    <col min="11" max="11" width="11.36328125" bestFit="1" customWidth="1"/>
    <col min="12" max="12" width="16" bestFit="1" customWidth="1"/>
    <col min="13" max="13" width="15" bestFit="1" customWidth="1"/>
    <col min="14" max="14" width="12.81640625" bestFit="1" customWidth="1"/>
    <col min="15" max="15" width="14.81640625" bestFit="1" customWidth="1"/>
    <col min="16" max="16" width="14.08984375" bestFit="1" customWidth="1"/>
    <col min="17" max="18" width="18.1796875" bestFit="1" customWidth="1"/>
    <col min="19" max="19" width="16.1796875" bestFit="1" customWidth="1"/>
    <col min="20" max="21" width="22.453125" bestFit="1" customWidth="1"/>
    <col min="22" max="22" width="17.453125" bestFit="1" customWidth="1"/>
    <col min="23" max="23" width="18.453125" bestFit="1" customWidth="1"/>
    <col min="24" max="24" width="16.453125" bestFit="1" customWidth="1"/>
    <col min="25" max="25" width="19.90625" bestFit="1" customWidth="1"/>
    <col min="26" max="26" width="18.36328125" bestFit="1" customWidth="1"/>
    <col min="27" max="27" width="18.81640625" bestFit="1" customWidth="1"/>
    <col min="28" max="28" width="18.1796875" bestFit="1" customWidth="1"/>
    <col min="29" max="29" width="24" bestFit="1" customWidth="1"/>
    <col min="30" max="30" width="16.1796875" bestFit="1" customWidth="1"/>
    <col min="31" max="31" width="21.08984375" bestFit="1" customWidth="1"/>
    <col min="32" max="32" width="21.08984375" customWidth="1"/>
    <col min="33" max="33" width="26.08984375" bestFit="1" customWidth="1"/>
    <col min="34" max="34" width="30.1796875" bestFit="1" customWidth="1"/>
    <col min="35" max="35" width="35.08984375" bestFit="1" customWidth="1"/>
    <col min="36" max="36" width="30.36328125" bestFit="1" customWidth="1"/>
    <col min="37" max="37" width="24.54296875" customWidth="1"/>
    <col min="38" max="38" width="23.453125" bestFit="1" customWidth="1"/>
    <col min="39" max="39" width="17.1796875" bestFit="1" customWidth="1"/>
    <col min="40" max="40" width="19" bestFit="1" customWidth="1"/>
    <col min="41" max="42" width="19" customWidth="1"/>
    <col min="43" max="43" width="16" bestFit="1" customWidth="1"/>
    <col min="44" max="44" width="26.54296875" bestFit="1" customWidth="1"/>
    <col min="45" max="45" width="26.54296875" customWidth="1"/>
    <col min="46" max="46" width="22.453125" bestFit="1" customWidth="1"/>
    <col min="47" max="47" width="18" bestFit="1" customWidth="1"/>
    <col min="48" max="48" width="14.54296875" bestFit="1" customWidth="1"/>
    <col min="49" max="49" width="21.36328125" bestFit="1" customWidth="1"/>
    <col min="50" max="50" width="19" bestFit="1" customWidth="1"/>
    <col min="51" max="51" width="22.90625" bestFit="1" customWidth="1"/>
    <col min="52" max="52" width="20.54296875" bestFit="1" customWidth="1"/>
    <col min="53" max="53" width="27.54296875" bestFit="1" customWidth="1"/>
    <col min="54" max="54" width="22.1796875" bestFit="1" customWidth="1"/>
    <col min="55" max="55" width="18.6328125" bestFit="1" customWidth="1"/>
    <col min="56" max="56" width="15.36328125" bestFit="1" customWidth="1"/>
    <col min="57" max="57" width="18.90625" bestFit="1" customWidth="1"/>
    <col min="58" max="58" width="16.81640625" bestFit="1" customWidth="1"/>
    <col min="59" max="59" width="16" bestFit="1" customWidth="1"/>
    <col min="60" max="60" width="13.1796875" bestFit="1" customWidth="1"/>
    <col min="61" max="61" width="15.36328125" bestFit="1" customWidth="1"/>
    <col min="62" max="62" width="18.81640625" bestFit="1" customWidth="1"/>
    <col min="63" max="63" width="27.81640625" bestFit="1" customWidth="1"/>
    <col min="64" max="64" width="20.81640625" bestFit="1" customWidth="1"/>
    <col min="65" max="65" width="26.36328125" bestFit="1" customWidth="1"/>
    <col min="66" max="66" width="18.6328125" bestFit="1" customWidth="1"/>
    <col min="67" max="67" width="18.453125" bestFit="1" customWidth="1"/>
    <col min="68" max="68" width="14.90625" bestFit="1" customWidth="1"/>
    <col min="69" max="69" width="20.1796875" bestFit="1" customWidth="1"/>
    <col min="70" max="70" width="8.36328125" bestFit="1" customWidth="1"/>
    <col min="71" max="71" width="15" bestFit="1" customWidth="1"/>
    <col min="72" max="72" width="17.1796875" customWidth="1"/>
    <col min="73" max="73" width="15" bestFit="1" customWidth="1"/>
    <col min="74" max="74" width="18.1796875" bestFit="1" customWidth="1"/>
    <col min="75" max="75" width="9.6328125" bestFit="1" customWidth="1"/>
    <col min="76" max="76" width="14" bestFit="1" customWidth="1"/>
    <col min="77" max="77" width="12.36328125" bestFit="1" customWidth="1"/>
    <col min="78" max="78" width="17.6328125" bestFit="1" customWidth="1"/>
    <col min="79" max="79" width="19.90625" bestFit="1" customWidth="1"/>
    <col min="80" max="80" width="26" bestFit="1" customWidth="1"/>
    <col min="81" max="81" width="14.6328125" customWidth="1"/>
    <col min="82" max="82" width="19.6328125" bestFit="1" customWidth="1"/>
    <col min="83" max="83" width="24.08984375" bestFit="1" customWidth="1"/>
    <col min="84" max="84" width="16" customWidth="1"/>
    <col min="85" max="85" width="11.1796875" bestFit="1" customWidth="1"/>
    <col min="86" max="86" width="13.90625" bestFit="1" customWidth="1"/>
    <col min="87" max="87" width="21" bestFit="1" customWidth="1"/>
    <col min="88" max="88" width="15.453125" bestFit="1" customWidth="1"/>
    <col min="89" max="89" width="17.453125" bestFit="1" customWidth="1"/>
    <col min="90" max="90" width="17.1796875" bestFit="1" customWidth="1"/>
    <col min="91" max="91" width="15.81640625" bestFit="1" customWidth="1"/>
    <col min="92" max="92" width="25" bestFit="1" customWidth="1"/>
    <col min="93" max="93" width="14.453125" bestFit="1" customWidth="1"/>
    <col min="94" max="94" width="18.453125" bestFit="1" customWidth="1"/>
    <col min="95" max="95" width="12.81640625" bestFit="1" customWidth="1"/>
    <col min="96" max="96" width="12.1796875" bestFit="1" customWidth="1"/>
    <col min="97" max="97" width="19.54296875" bestFit="1" customWidth="1"/>
    <col min="98" max="98" width="11.08984375" bestFit="1" customWidth="1"/>
    <col min="99" max="99" width="15.6328125" bestFit="1" customWidth="1"/>
    <col min="100" max="100" width="9.1796875" bestFit="1" customWidth="1"/>
    <col min="101" max="101" width="16.81640625" bestFit="1" customWidth="1"/>
    <col min="102" max="102" width="9" bestFit="1" customWidth="1"/>
    <col min="103" max="103" width="10" bestFit="1" customWidth="1"/>
    <col min="104" max="104" width="22.1796875" bestFit="1" customWidth="1"/>
    <col min="105" max="105" width="11.54296875" bestFit="1" customWidth="1"/>
    <col min="106" max="106" width="16" bestFit="1" customWidth="1"/>
    <col min="107" max="107" width="13.54296875" bestFit="1" customWidth="1"/>
    <col min="108" max="108" width="17.453125" bestFit="1" customWidth="1"/>
    <col min="109" max="109" width="19.453125" bestFit="1" customWidth="1"/>
    <col min="110" max="110" width="17.1796875" bestFit="1" customWidth="1"/>
    <col min="111" max="111" width="22.1796875" bestFit="1" customWidth="1"/>
    <col min="112" max="112" width="18.453125" bestFit="1" customWidth="1"/>
    <col min="113" max="113" width="19.81640625" bestFit="1" customWidth="1"/>
    <col min="114" max="114" width="16" bestFit="1" customWidth="1"/>
    <col min="115" max="115" width="23.36328125" bestFit="1" customWidth="1"/>
    <col min="116" max="116" width="28.08984375" bestFit="1" customWidth="1"/>
    <col min="117" max="117" width="23.453125" bestFit="1" customWidth="1"/>
    <col min="118" max="118" width="20.90625" bestFit="1" customWidth="1"/>
    <col min="119" max="119" width="25.81640625" bestFit="1" customWidth="1"/>
    <col min="120" max="120" width="23.6328125" bestFit="1" customWidth="1"/>
    <col min="121" max="121" width="24.36328125" bestFit="1" customWidth="1"/>
    <col min="122" max="122" width="18.36328125" bestFit="1" customWidth="1"/>
    <col min="123" max="123" width="19.08984375" bestFit="1" customWidth="1"/>
    <col min="124" max="124" width="10.36328125" bestFit="1" customWidth="1"/>
    <col min="125" max="125" width="11.08984375" bestFit="1" customWidth="1"/>
    <col min="126" max="126" width="19.6328125" bestFit="1" customWidth="1"/>
    <col min="127" max="127" width="14" bestFit="1" customWidth="1"/>
    <col min="128" max="128" width="9" bestFit="1" customWidth="1"/>
    <col min="129" max="129" width="8.90625" bestFit="1" customWidth="1"/>
    <col min="130" max="130" width="17.36328125" bestFit="1" customWidth="1"/>
    <col min="131" max="131" width="22.90625" bestFit="1" customWidth="1"/>
    <col min="133" max="133" width="9.08984375" bestFit="1" customWidth="1"/>
    <col min="134" max="134" width="19.08984375" bestFit="1" customWidth="1"/>
    <col min="135" max="135" width="21.54296875" bestFit="1" customWidth="1"/>
    <col min="136" max="136" width="17.1796875" bestFit="1" customWidth="1"/>
    <col min="137" max="137" width="13.36328125" bestFit="1" customWidth="1"/>
    <col min="138" max="138" width="20.6328125" bestFit="1" customWidth="1"/>
    <col min="139" max="139" width="12.6328125" bestFit="1" customWidth="1"/>
    <col min="140" max="140" width="36.90625" bestFit="1" customWidth="1"/>
    <col min="141" max="141" width="31.08984375" bestFit="1" customWidth="1"/>
    <col min="142" max="142" width="23.36328125" bestFit="1" customWidth="1"/>
    <col min="143" max="143" width="146.90625" bestFit="1" customWidth="1"/>
    <col min="144" max="144" width="9.36328125" customWidth="1"/>
    <col min="145" max="145" width="34.90625" bestFit="1" customWidth="1"/>
    <col min="146" max="146" width="23.54296875" bestFit="1" customWidth="1"/>
    <col min="147" max="147" width="16" bestFit="1" customWidth="1"/>
    <col min="148" max="148" width="18.90625" bestFit="1" customWidth="1"/>
    <col min="149" max="149" width="14.90625" bestFit="1" customWidth="1"/>
    <col min="150" max="150" width="22.81640625" bestFit="1" customWidth="1"/>
    <col min="151" max="151" width="12.08984375" bestFit="1" customWidth="1"/>
    <col min="152" max="152" width="9" bestFit="1" customWidth="1"/>
    <col min="153" max="153" width="21.6328125" bestFit="1" customWidth="1"/>
    <col min="154" max="154" width="16.6328125" bestFit="1" customWidth="1"/>
    <col min="155" max="155" width="38.1796875" bestFit="1" customWidth="1"/>
    <col min="156" max="156" width="18.36328125" bestFit="1" customWidth="1"/>
  </cols>
  <sheetData>
    <row r="1" spans="1:156" s="106" customFormat="1" ht="34.75" customHeight="1" x14ac:dyDescent="0.35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5" customHeight="1" x14ac:dyDescent="0.35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5" customHeight="1" x14ac:dyDescent="0.35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5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5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5" x14ac:dyDescent="0.35"/>
  <cols>
    <col min="1" max="1" width="15.90625" bestFit="1" customWidth="1"/>
    <col min="2" max="3" width="13.08984375" customWidth="1"/>
    <col min="4" max="4" width="16.81640625" customWidth="1"/>
    <col min="5" max="5" width="17.453125" customWidth="1"/>
    <col min="6" max="6" width="11.1796875" customWidth="1"/>
    <col min="7" max="7" width="13.453125" bestFit="1" customWidth="1"/>
    <col min="8" max="8" width="13.1796875" customWidth="1"/>
    <col min="9" max="9" width="19.90625" bestFit="1" customWidth="1"/>
    <col min="10" max="10" width="5.81640625" customWidth="1"/>
    <col min="11" max="11" width="10.6328125" bestFit="1" customWidth="1"/>
    <col min="12" max="12" width="12.08984375" bestFit="1" customWidth="1"/>
    <col min="13" max="13" width="10.08984375" customWidth="1"/>
    <col min="14" max="14" width="11.1796875" customWidth="1"/>
    <col min="15" max="15" width="19.1796875" bestFit="1" customWidth="1"/>
    <col min="16" max="16" width="11.54296875" bestFit="1" customWidth="1"/>
    <col min="17" max="17" width="14.6328125" bestFit="1" customWidth="1"/>
    <col min="18" max="18" width="12.08984375" bestFit="1" customWidth="1"/>
    <col min="19" max="19" width="11.6328125" bestFit="1" customWidth="1"/>
    <col min="20" max="20" width="15.08984375" bestFit="1" customWidth="1"/>
    <col min="21" max="21" width="15.08984375" customWidth="1"/>
    <col min="22" max="23" width="21.36328125" customWidth="1"/>
    <col min="24" max="24" width="18.81640625" bestFit="1" customWidth="1"/>
    <col min="25" max="25" width="25.54296875" bestFit="1" customWidth="1"/>
    <col min="26" max="26" width="23.90625" bestFit="1" customWidth="1"/>
    <col min="27" max="27" width="15.36328125" bestFit="1" customWidth="1"/>
    <col min="28" max="28" width="16.36328125" bestFit="1" customWidth="1"/>
    <col min="29" max="29" width="17.81640625" customWidth="1"/>
    <col min="30" max="30" width="13.08984375" bestFit="1" customWidth="1"/>
    <col min="31" max="31" width="13.453125" style="9" bestFit="1" customWidth="1"/>
    <col min="32" max="32" width="16" bestFit="1" customWidth="1"/>
    <col min="33" max="33" width="11.54296875" bestFit="1" customWidth="1"/>
    <col min="34" max="34" width="13.81640625" bestFit="1" customWidth="1"/>
    <col min="35" max="35" width="16.81640625" bestFit="1" customWidth="1"/>
    <col min="36" max="36" width="10.1796875" customWidth="1"/>
    <col min="37" max="37" width="12.453125" bestFit="1" customWidth="1"/>
    <col min="38" max="38" width="12.54296875" customWidth="1"/>
    <col min="39" max="39" width="18.1796875" customWidth="1"/>
    <col min="40" max="40" width="18.36328125" bestFit="1" customWidth="1"/>
    <col min="41" max="41" width="12.81640625" bestFit="1" customWidth="1"/>
    <col min="42" max="42" width="18.1796875" bestFit="1" customWidth="1"/>
    <col min="43" max="43" width="19.453125" bestFit="1" customWidth="1"/>
    <col min="44" max="44" width="12.6328125" customWidth="1"/>
    <col min="45" max="45" width="23.36328125" bestFit="1" customWidth="1"/>
    <col min="46" max="46" width="15.6328125" bestFit="1" customWidth="1"/>
    <col min="47" max="47" width="11.6328125" bestFit="1" customWidth="1"/>
    <col min="48" max="48" width="16.6328125" bestFit="1" customWidth="1"/>
    <col min="49" max="49" width="13.54296875" bestFit="1" customWidth="1"/>
    <col min="50" max="50" width="15.6328125" bestFit="1" customWidth="1"/>
    <col min="51" max="51" width="17.1796875" bestFit="1" customWidth="1"/>
    <col min="52" max="52" width="19.6328125" bestFit="1" customWidth="1"/>
    <col min="53" max="53" width="22.6328125" bestFit="1" customWidth="1"/>
    <col min="54" max="54" width="13.6328125" bestFit="1" customWidth="1"/>
    <col min="55" max="55" width="18.08984375" bestFit="1" customWidth="1"/>
    <col min="56" max="56" width="18.90625" bestFit="1" customWidth="1"/>
    <col min="57" max="57" width="13.08984375" bestFit="1" customWidth="1"/>
    <col min="58" max="58" width="11.08984375" bestFit="1" customWidth="1"/>
    <col min="59" max="59" width="10.90625" bestFit="1" customWidth="1"/>
    <col min="60" max="60" width="10.90625" customWidth="1"/>
    <col min="61" max="61" width="14.1796875" customWidth="1"/>
    <col min="62" max="62" width="18.1796875" bestFit="1" customWidth="1"/>
    <col min="63" max="63" width="12.90625" customWidth="1"/>
    <col min="64" max="64" width="14.1796875" customWidth="1"/>
    <col min="65" max="65" width="4.81640625" customWidth="1"/>
    <col min="66" max="66" width="13.6328125" bestFit="1" customWidth="1"/>
    <col min="67" max="67" width="16.1796875" bestFit="1" customWidth="1"/>
    <col min="68" max="68" width="11.81640625" customWidth="1"/>
    <col min="69" max="69" width="11.54296875" customWidth="1"/>
    <col min="70" max="70" width="16.81640625" bestFit="1" customWidth="1"/>
    <col min="71" max="71" width="9" bestFit="1" customWidth="1"/>
    <col min="72" max="72" width="17.1796875" customWidth="1"/>
    <col min="73" max="73" width="22.1796875" bestFit="1" customWidth="1"/>
    <col min="74" max="74" width="11.54296875" bestFit="1" customWidth="1"/>
    <col min="75" max="75" width="16" bestFit="1" customWidth="1"/>
    <col min="76" max="76" width="13.54296875" bestFit="1" customWidth="1"/>
    <col min="77" max="77" width="17.453125" bestFit="1" customWidth="1"/>
    <col min="78" max="78" width="19.453125" bestFit="1" customWidth="1"/>
    <col min="79" max="79" width="17.1796875" bestFit="1" customWidth="1"/>
    <col min="80" max="80" width="22.1796875" bestFit="1" customWidth="1"/>
    <col min="81" max="81" width="18.453125" bestFit="1" customWidth="1"/>
    <col min="82" max="82" width="19.81640625" bestFit="1" customWidth="1"/>
    <col min="83" max="83" width="16" bestFit="1" customWidth="1"/>
    <col min="84" max="84" width="23.36328125" bestFit="1" customWidth="1"/>
    <col min="85" max="85" width="28.08984375" bestFit="1" customWidth="1"/>
    <col min="86" max="86" width="23.453125" bestFit="1" customWidth="1"/>
    <col min="87" max="87" width="20.90625" bestFit="1" customWidth="1"/>
    <col min="88" max="88" width="18.36328125" bestFit="1" customWidth="1"/>
    <col min="89" max="89" width="19.08984375" bestFit="1" customWidth="1"/>
    <col min="90" max="90" width="10.36328125" bestFit="1" customWidth="1"/>
    <col min="91" max="91" width="11.08984375" bestFit="1" customWidth="1"/>
    <col min="92" max="92" width="19.6328125" bestFit="1" customWidth="1"/>
    <col min="93" max="93" width="17.6328125" customWidth="1"/>
    <col min="94" max="94" width="12" customWidth="1"/>
    <col min="95" max="95" width="15.1796875" customWidth="1"/>
    <col min="96" max="96" width="17.36328125" bestFit="1" customWidth="1"/>
    <col min="97" max="97" width="22.90625" bestFit="1" customWidth="1"/>
    <col min="99" max="99" width="9.08984375" bestFit="1" customWidth="1"/>
    <col min="100" max="100" width="19.08984375" bestFit="1" customWidth="1"/>
    <col min="101" max="101" width="21.54296875" bestFit="1" customWidth="1"/>
    <col min="102" max="102" width="17.1796875" bestFit="1" customWidth="1"/>
    <col min="103" max="103" width="13.36328125" bestFit="1" customWidth="1"/>
    <col min="104" max="104" width="23.453125" bestFit="1" customWidth="1"/>
    <col min="105" max="105" width="7.81640625" bestFit="1" customWidth="1"/>
    <col min="106" max="106" width="10" bestFit="1" customWidth="1"/>
    <col min="107" max="107" width="10.90625" bestFit="1" customWidth="1"/>
    <col min="108" max="108" width="9.90625" bestFit="1" customWidth="1"/>
    <col min="109" max="109" width="9.6328125" bestFit="1" customWidth="1"/>
    <col min="110" max="110" width="9" bestFit="1" customWidth="1"/>
    <col min="111" max="111" width="13.08984375" bestFit="1" customWidth="1"/>
    <col min="112" max="112" width="14.1796875" bestFit="1" customWidth="1"/>
    <col min="113" max="113" width="11.08984375" bestFit="1" customWidth="1"/>
    <col min="114" max="114" width="10.81640625" bestFit="1" customWidth="1"/>
    <col min="115" max="115" width="12.54296875" bestFit="1" customWidth="1"/>
    <col min="116" max="116" width="16.36328125" bestFit="1" customWidth="1"/>
    <col min="117" max="117" width="17.1796875" bestFit="1" customWidth="1"/>
    <col min="118" max="118" width="20.6328125" bestFit="1" customWidth="1"/>
    <col min="119" max="119" width="12.6328125" bestFit="1" customWidth="1"/>
    <col min="120" max="120" width="36.90625" bestFit="1" customWidth="1"/>
    <col min="121" max="121" width="31.08984375" bestFit="1" customWidth="1"/>
    <col min="122" max="122" width="23.36328125" bestFit="1" customWidth="1"/>
    <col min="123" max="123" width="30.453125" bestFit="1" customWidth="1"/>
    <col min="124" max="124" width="8.81640625" bestFit="1" customWidth="1"/>
    <col min="125" max="125" width="16.6328125" bestFit="1" customWidth="1"/>
    <col min="126" max="126" width="25" bestFit="1" customWidth="1"/>
    <col min="127" max="127" width="30" bestFit="1" customWidth="1"/>
    <col min="128" max="128" width="25.08984375" bestFit="1" customWidth="1"/>
    <col min="129" max="129" width="31.453125" bestFit="1" customWidth="1"/>
    <col min="130" max="130" width="32.90625" bestFit="1" customWidth="1"/>
    <col min="131" max="131" width="22" bestFit="1" customWidth="1"/>
    <col min="132" max="132" width="22.54296875" bestFit="1" customWidth="1"/>
    <col min="133" max="133" width="52.54296875" bestFit="1" customWidth="1"/>
    <col min="134" max="134" width="9.6328125" bestFit="1" customWidth="1"/>
    <col min="135" max="135" width="34.90625" bestFit="1" customWidth="1"/>
    <col min="136" max="136" width="23.54296875" bestFit="1" customWidth="1"/>
    <col min="137" max="137" width="25.81640625" bestFit="1" customWidth="1"/>
    <col min="138" max="138" width="23.6328125" bestFit="1" customWidth="1"/>
    <col min="139" max="139" width="24.36328125" bestFit="1" customWidth="1"/>
  </cols>
  <sheetData>
    <row r="1" spans="1:139" s="7" customFormat="1" ht="28.75" customHeight="1" x14ac:dyDescent="0.35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75" customHeight="1" x14ac:dyDescent="0.35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58" x14ac:dyDescent="0.35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58" x14ac:dyDescent="0.35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58" x14ac:dyDescent="0.35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5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ht="29" x14ac:dyDescent="0.35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ht="29" x14ac:dyDescent="0.35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58" x14ac:dyDescent="0.35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58" x14ac:dyDescent="0.35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58" x14ac:dyDescent="0.35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58" x14ac:dyDescent="0.35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ht="29" x14ac:dyDescent="0.35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ht="29" x14ac:dyDescent="0.35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ht="29" x14ac:dyDescent="0.35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5" x14ac:dyDescent="0.35"/>
  <cols>
    <col min="1" max="1" width="15.90625" bestFit="1" customWidth="1"/>
    <col min="2" max="2" width="16" bestFit="1" customWidth="1"/>
    <col min="3" max="3" width="18.90625" bestFit="1" customWidth="1"/>
    <col min="4" max="4" width="14.90625" bestFit="1" customWidth="1"/>
    <col min="5" max="5" width="22.81640625" bestFit="1" customWidth="1"/>
    <col min="6" max="6" width="23.90625" bestFit="1" customWidth="1"/>
    <col min="7" max="7" width="11.90625" customWidth="1"/>
    <col min="8" max="8" width="21.6328125" bestFit="1" customWidth="1"/>
    <col min="9" max="9" width="16.6328125" bestFit="1" customWidth="1"/>
    <col min="10" max="10" width="38.1796875" bestFit="1" customWidth="1"/>
    <col min="11" max="11" width="15" bestFit="1" customWidth="1"/>
  </cols>
  <sheetData>
    <row r="1" spans="1:11" s="7" customFormat="1" ht="28.75" customHeight="1" x14ac:dyDescent="0.35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75" customHeight="1" x14ac:dyDescent="0.35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5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5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5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5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5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ht="29" x14ac:dyDescent="0.35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ht="29" x14ac:dyDescent="0.35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5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5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5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5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5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5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5" x14ac:dyDescent="0.35"/>
  <cols>
    <col min="1" max="1" width="9.90625" bestFit="1" customWidth="1"/>
    <col min="2" max="2" width="18.54296875" customWidth="1"/>
    <col min="3" max="3" width="21" customWidth="1"/>
    <col min="4" max="4" width="18" customWidth="1"/>
    <col min="5" max="5" width="27.1796875" customWidth="1"/>
    <col min="6" max="6" width="26" customWidth="1"/>
  </cols>
  <sheetData>
    <row r="1" spans="1:6" ht="28.75" customHeigh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5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5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5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5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5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5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5">
      <c r="C8" s="1"/>
      <c r="D8" s="2"/>
      <c r="E8" s="1"/>
    </row>
    <row r="9" spans="1:6" x14ac:dyDescent="0.35">
      <c r="C9" s="1"/>
      <c r="D9" s="2"/>
      <c r="E9" s="1"/>
    </row>
    <row r="10" spans="1:6" x14ac:dyDescent="0.35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Zefanya Laurent</cp:lastModifiedBy>
  <cp:lastPrinted>2024-05-30T03:54:25Z</cp:lastPrinted>
  <dcterms:created xsi:type="dcterms:W3CDTF">2024-04-22T03:21:30Z</dcterms:created>
  <dcterms:modified xsi:type="dcterms:W3CDTF">2025-06-03T04:28:10Z</dcterms:modified>
</cp:coreProperties>
</file>